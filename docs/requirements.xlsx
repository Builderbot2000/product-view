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Requirements" sheetId="2" state="visible" r:id="rId4"/>
    <sheet name="Validation gates" sheetId="3" state="visible" r:id="rId5"/>
    <sheet name="Trial rules" sheetId="4" state="visible" r:id="rId6"/>
    <sheet name="Results" sheetId="5" state="visible" r:id="rId7"/>
  </sheets>
  <definedNames>
    <definedName function="false" hidden="true" localSheetId="1" name="_xlnm._FilterDatabase" vbProcedure="false">Requirements!$A$1:$F$60</definedName>
    <definedName function="false" hidden="true" localSheetId="4" name="_xlnm._FilterDatabase" vbProcedure="false">Results!$A$1:$M$71</definedName>
    <definedName function="false" hidden="true" localSheetId="3" name="_xlnm._FilterDatabase" vbProcedure="false">'Trial rules'!$A$1:$C$18</definedName>
    <definedName function="false" hidden="true" localSheetId="2" name="_xlnm._FilterDatabase" vbProcedure="false">'Validation gates'!$A$1:$J$25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<sst xmlns="http://schemas.openxmlformats.org/spreadsheetml/2006/main" count="1268" uniqueCount="439">
  <si>
    <t xml:space="preserve">Sheet</t>
  </si>
  <si>
    <t xml:space="preserve">What it holds</t>
  </si>
  <si>
    <t xml:space="preserve">Requirements</t>
  </si>
  <si>
    <t xml:space="preserve">What the product and the method must do, and the standing decisions that constrain them. Status is as of 2026-10-14.</t>
  </si>
  <si>
    <t xml:space="preserve">Validation gates</t>
  </si>
  <si>
    <t xml:space="preserve">Every pass/fail bar set for a trial, with its definition and the reason for the bar. Bars were set before each run; later revisions are kept as separate rows.</t>
  </si>
  <si>
    <t xml:space="preserve">Trial rules</t>
  </si>
  <si>
    <t xml:space="preserve">The rules each trial set for itself against fitting: what may be tuned, when to stop, who labels.</t>
  </si>
  <si>
    <t xml:space="preserve">Results</t>
  </si>
  <si>
    <t xml:space="preserve">Every gated measurement against its bar. 'Meets bar' is a formula over Value, Comparator and Bar; 'Verdict as recorded' is what the trial log concluded (which also weighs in-sample status, noise and gates not measured).</t>
  </si>
  <si>
    <t xml:space="preserve">Sources</t>
  </si>
  <si>
    <t xml:space="preserve">docs/Project.md (goals, platform, config), docs/report-design.md (D1–D17), trials/llm-trials.md (decisions, gates, results), project memory (working rules).</t>
  </si>
  <si>
    <t xml:space="preserve">Units</t>
  </si>
  <si>
    <t xml:space="preserve">Percentages are stored as fractions (0.6 shows as 60%). 'pts' are percentage points.</t>
  </si>
  <si>
    <t xml:space="preserve">Slices</t>
  </si>
  <si>
    <t xml:space="preserve">V1 = newest 100 reviews (2026-08-20 → 09-22), in-sample. V2 = 100 random from Feb 2026, held out. V3 = 100 random from Oct 2024, held out. Dev window = 4 months ending 2026-09-22.</t>
  </si>
  <si>
    <t xml:space="preserve">ID</t>
  </si>
  <si>
    <t xml:space="preserve">Group</t>
  </si>
  <si>
    <t xml:space="preserve">Requirement</t>
  </si>
  <si>
    <t xml:space="preserve">Source</t>
  </si>
  <si>
    <t xml:space="preserve">Status</t>
  </si>
  <si>
    <t xml:space="preserve">Notes</t>
  </si>
  <si>
    <t xml:space="preserve">R01</t>
  </si>
  <si>
    <t xml:space="preserve">Product goal</t>
  </si>
  <si>
    <t xml:space="preserve">One command takes an app ID and produces a Confluence-ready dashboard.</t>
  </si>
  <si>
    <t xml:space="preserve">docs/Project.md §1</t>
  </si>
  <si>
    <t xml:space="preserve">Partial</t>
  </si>
  <si>
    <t xml:space="preserve">pv run builds the data; pv report --publish is not yet wired into pv run.</t>
  </si>
  <si>
    <t xml:space="preserve">R02</t>
  </si>
  <si>
    <t xml:space="preserve">Runs unmodified on Linux, macOS and Windows.</t>
  </si>
  <si>
    <t xml:space="preserve">Developed on Windows, container verified 2026-09-29; no CI matrix yet.</t>
  </si>
  <si>
    <t xml:space="preserve">R03</t>
  </si>
  <si>
    <t xml:space="preserve">Issues are semantic, not keyword buckets: different wordings of one problem land together, and reviews are grouped by what they are about, not how they sound.</t>
  </si>
  <si>
    <t xml:space="preserve">docs/Project.md §1; trials/llm-trials.md Why</t>
  </si>
  <si>
    <t xml:space="preserve">Open</t>
  </si>
  <si>
    <t xml:space="preserve">Embedding clustering failed this (tone clusters). pv issues passed on validated slices but failed the port check: results depend on input order.</t>
  </si>
  <si>
    <t xml:space="preserve">R04</t>
  </si>
  <si>
    <t xml:space="preserve">Every issue is traceable to the individual reviews behind it (exact quotes with review ids).</t>
  </si>
  <si>
    <t xml:space="preserve">Met</t>
  </si>
  <si>
    <t xml:space="preserve">Gate G1 (quotes exact ≥ 98%).</t>
  </si>
  <si>
    <t xml:space="preserve">R05</t>
  </si>
  <si>
    <t xml:space="preserve">Incremental: re-running fetches only new reviews and updates the dashboard.</t>
  </si>
  <si>
    <t xml:space="preserve">pv fetch tops up and resumes.</t>
  </si>
  <si>
    <t xml:space="preserve">R06</t>
  </si>
  <si>
    <t xml:space="preserve">Ingestion is one swappable module, so an internal feed can replace the Play Store.</t>
  </si>
  <si>
    <t xml:space="preserve">ReviewSource protocol in ingest/base.py.</t>
  </si>
  <si>
    <t xml:space="preserve">R07</t>
  </si>
  <si>
    <t xml:space="preserve">Success criterion</t>
  </si>
  <si>
    <t xml:space="preserve">A product team member opens the Confluence page and within about a minute can name the top 10 things users are unhappy about this period, how each is trending, with enough example reviews to trust each label.</t>
  </si>
  <si>
    <t xml:space="preserve">Depends on R03.</t>
  </si>
  <si>
    <t xml:space="preserve">N01</t>
  </si>
  <si>
    <t xml:space="preserve">Non-goal (demo)</t>
  </si>
  <si>
    <t xml:space="preserve">No hosted service, scheduler daemon or auth system; scheduling is cron / Task Scheduler / manual.</t>
  </si>
  <si>
    <t xml:space="preserve">N02</t>
  </si>
  <si>
    <t xml:space="preserve">No multi-app tenancy, no iOS App Store, no per-user accounts.</t>
  </si>
  <si>
    <t xml:space="preserve">N03</t>
  </si>
  <si>
    <t xml:space="preserve">No fine-tuned or custom-trained models.</t>
  </si>
  <si>
    <t xml:space="preserve">N04</t>
  </si>
  <si>
    <t xml:space="preserve">No write-back to Jira or ticket creation.</t>
  </si>
  <si>
    <t xml:space="preserve">R10</t>
  </si>
  <si>
    <t xml:space="preserve">Cross-platform</t>
  </si>
  <si>
    <t xml:space="preserve">Pure Python: no shell-outs, no platform-specific binaries.</t>
  </si>
  <si>
    <t xml:space="preserve">docs/Project.md §4</t>
  </si>
  <si>
    <t xml:space="preserve">R11</t>
  </si>
  <si>
    <t xml:space="preserve">pathlib everywhere; never string-concatenate paths.</t>
  </si>
  <si>
    <t xml:space="preserve">R12</t>
  </si>
  <si>
    <t xml:space="preserve">Explicit encoding='utf-8' on every file open.</t>
  </si>
  <si>
    <t xml:space="preserve">R13</t>
  </si>
  <si>
    <t xml:space="preserve">Timestamps stored as UTC ISO-8601; converted to local only at render time.</t>
  </si>
  <si>
    <t xml:space="preserve">R14</t>
  </si>
  <si>
    <t xml:space="preserve">Model and data caches under platformdirs.user_cache_dir(), not ~/.cache.</t>
  </si>
  <si>
    <t xml:space="preserve">R15</t>
  </si>
  <si>
    <t xml:space="preserve">No symlinks, no case-sensitive path assumptions.</t>
  </si>
  <si>
    <t xml:space="preserve">R16</t>
  </si>
  <si>
    <t xml:space="preserve">pip install -e . from pyproject.toml; uv documented as the fast path.</t>
  </si>
  <si>
    <t xml:space="preserve">R17</t>
  </si>
  <si>
    <t xml:space="preserve">CI matrix across all three OSes once there is anything to test.</t>
  </si>
  <si>
    <t xml:space="preserve">No test suite yet (milestone 6).</t>
  </si>
  <si>
    <t xml:space="preserve">R20</t>
  </si>
  <si>
    <t xml:space="preserve">Configuration</t>
  </si>
  <si>
    <t xml:space="preserve">Precedence: command-line flag &gt; config.yaml &gt; built-in default.</t>
  </si>
  <si>
    <t xml:space="preserve">docs/Project.md §5</t>
  </si>
  <si>
    <t xml:space="preserve">R21</t>
  </si>
  <si>
    <t xml:space="preserve">Unknown config keys are an error, not ignored.</t>
  </si>
  <si>
    <t xml:space="preserve">R22</t>
  </si>
  <si>
    <t xml:space="preserve">Secrets only in environment variables or a gitignored .env.</t>
  </si>
  <si>
    <t xml:space="preserve">R23</t>
  </si>
  <si>
    <t xml:space="preserve">One corpus.min_chars shared by every stage, so stages cannot disagree on which reviews count.</t>
  </si>
  <si>
    <t xml:space="preserve">R30</t>
  </si>
  <si>
    <t xml:space="preserve">Model &amp; compliance</t>
  </si>
  <si>
    <t xml:space="preserve">Review text never leaves the machine: the model runs locally.</t>
  </si>
  <si>
    <t xml:space="preserve">trials/llm-trials.md decision 1</t>
  </si>
  <si>
    <t xml:space="preserve">Sending text to OpenAI needs sign-off; done once for the $2 / $1 checks on the user's go-ahead.</t>
  </si>
  <si>
    <t xml:space="preserve">R31</t>
  </si>
  <si>
    <t xml:space="preserve">Model: Qwen3.5 9B through Ollama, local. Gemma 4 12B is the fallback if a Chinese-origin model is ruled out. The provider is a setting.</t>
  </si>
  <si>
    <t xml:space="preserve">trials/llm-trials.md decisions 2, 7 (reversed 2026-10-14)</t>
  </si>
  <si>
    <t xml:space="preserve">GPT-5.4 nano/mini failed the gates; openai stays as a setting.</t>
  </si>
  <si>
    <t xml:space="preserve">R32</t>
  </si>
  <si>
    <t xml:space="preserve">Every model call: temperature 0, seed 0, thinking off, JSON schema output; every call cached.</t>
  </si>
  <si>
    <t xml:space="preserve">trials/llm-trials.md decision 3</t>
  </si>
  <si>
    <t xml:space="preserve">OpenAI models take no temperature or seed, so their answers vary between runs.</t>
  </si>
  <si>
    <t xml:space="preserve">R33</t>
  </si>
  <si>
    <t xml:space="preserve">No app-specific curation: hand labels only for categories that apply to any app; issue names come from the data.</t>
  </si>
  <si>
    <t xml:space="preserve">trials/llm-trials.md decision 4</t>
  </si>
  <si>
    <t xml:space="preserve">Relaxed for the pilot: issue-list corrections and an AI proofread are allowed.</t>
  </si>
  <si>
    <t xml:space="preserve">R34</t>
  </si>
  <si>
    <t xml:space="preserve">Align the method with published work (LLooM; TopicGPT and BERTopic for codebook and persistence) rather than invent one.</t>
  </si>
  <si>
    <t xml:space="preserve">trials/llm-trials.md decision 6</t>
  </si>
  <si>
    <t xml:space="preserve">R35</t>
  </si>
  <si>
    <t xml:space="preserve">All report numbers are deterministic, and the report must still work without the model.</t>
  </si>
  <si>
    <t xml:space="preserve">docs/report-design.md D6</t>
  </si>
  <si>
    <t xml:space="preserve">Issue grouping now depends on the model.</t>
  </si>
  <si>
    <t xml:space="preserve">R40</t>
  </si>
  <si>
    <t xml:space="preserve">Scope</t>
  </si>
  <si>
    <t xml:space="preserve">Proof of concept for the method, not an operation: stale data (last fetch 2026-09-23), no Spanish translation and no tests are accepted.</t>
  </si>
  <si>
    <t xml:space="preserve">trials/llm-trials.md decision 5</t>
  </si>
  <si>
    <t xml:space="preserve">R41</t>
  </si>
  <si>
    <t xml:space="preserve">Demo standard: pv issues on local Qwen over a 4-month window, complaints only; 'usual' = mean of 3 periods; per-issue heatmap only over the issue window; review-count trend keeps 12 periods.</t>
  </si>
  <si>
    <t xml:space="preserve">docs/report-design.md D17</t>
  </si>
  <si>
    <t xml:space="preserve">Not started: the port check failed first.</t>
  </si>
  <si>
    <t xml:space="preserve">R42</t>
  </si>
  <si>
    <t xml:space="preserve">Positive and negative reviews handled separately.</t>
  </si>
  <si>
    <t xml:space="preserve">docs/Project.md §0 decision 2</t>
  </si>
  <si>
    <t xml:space="preserve">Praise issues left out of the demo (D17).</t>
  </si>
  <si>
    <t xml:space="preserve">R43</t>
  </si>
  <si>
    <t xml:space="preserve">Translate French to English, so quotes are readable by an English-speaking PM.</t>
  </si>
  <si>
    <t xml:space="preserve">docs/Project.md §0 decision 4</t>
  </si>
  <si>
    <t xml:space="preserve">R50</t>
  </si>
  <si>
    <t xml:space="preserve">Report</t>
  </si>
  <si>
    <t xml:space="preserve">Primary readers are the review analysts; the report gives them evidence, it does not replace them. Role views for PMs, Engineering/QA, Support/CX.</t>
  </si>
  <si>
    <t xml:space="preserve">docs/report-design.md §1</t>
  </si>
  <si>
    <t xml:space="preserve">R51</t>
  </si>
  <si>
    <t xml:space="preserve">Page text is written for the product team reading cold: no tool, pipeline or statistics terms.</t>
  </si>
  <si>
    <t xml:space="preserve">Project memory</t>
  </si>
  <si>
    <t xml:space="preserve">D1</t>
  </si>
  <si>
    <t xml:space="preserve">pv report emits Confluence storage format, not HTML.</t>
  </si>
  <si>
    <t xml:space="preserve">docs/report-design.md</t>
  </si>
  <si>
    <t xml:space="preserve">D2</t>
  </si>
  <si>
    <t xml:space="preserve">Charts are SVGs we design, uploaded as attachments; the chart macro is not used.</t>
  </si>
  <si>
    <t xml:space="preserve">D3</t>
  </si>
  <si>
    <t xml:space="preserve">Full-width pages.</t>
  </si>
  <si>
    <t xml:space="preserve">D4</t>
  </si>
  <si>
    <t xml:space="preserve">Page tree per run: hub (analyst view), role pages; issue pages deferred.</t>
  </si>
  <si>
    <t xml:space="preserve">Issue pages not built.</t>
  </si>
  <si>
    <t xml:space="preserve">D5</t>
  </si>
  <si>
    <t xml:space="preserve">Shared sections via excerpt / excerpt-include.</t>
  </si>
  <si>
    <t xml:space="preserve">excerpt-include across pages not tested; not needed today.</t>
  </si>
  <si>
    <t xml:space="preserve">D6</t>
  </si>
  <si>
    <t xml:space="preserve">Issue names written by a model, with the medoid quote shown as 'in users' words'.</t>
  </si>
  <si>
    <t xml:space="preserve">Names now come from pv issues.</t>
  </si>
  <si>
    <t xml:space="preserve">D7</t>
  </si>
  <si>
    <t xml:space="preserve">General sentiment kept apart from actionable issues.</t>
  </si>
  <si>
    <t xml:space="preserve">D8</t>
  </si>
  <si>
    <t xml:space="preserve">Near-duplicate clusters shown merged.</t>
  </si>
  <si>
    <t xml:space="preserve">Gate G5 (duplicates ≤ 10%).</t>
  </si>
  <si>
    <t xml:space="preserve">D9</t>
  </si>
  <si>
    <t xml:space="preserve">Cadence weekly plus each release; delivery by @mentions and Slack.</t>
  </si>
  <si>
    <t xml:space="preserve">Not built</t>
  </si>
  <si>
    <t xml:space="preserve">After the demo.</t>
  </si>
  <si>
    <t xml:space="preserve">D10</t>
  </si>
  <si>
    <t xml:space="preserve">Raw data stays in the store; views derive their numbers. No pre-computed classifications.</t>
  </si>
  <si>
    <t xml:space="preserve">D11</t>
  </si>
  <si>
    <t xml:space="preserve">Recent activity leads; all-time is context.</t>
  </si>
  <si>
    <t xml:space="preserve">Superseded</t>
  </si>
  <si>
    <t xml:space="preserve">Replaced by D15.</t>
  </si>
  <si>
    <t xml:space="preserve">D12</t>
  </si>
  <si>
    <t xml:space="preserve">Several orderings of the same rows (by change, by area, by volume), not one ranked list.</t>
  </si>
  <si>
    <t xml:space="preserve">D13</t>
  </si>
  <si>
    <t xml:space="preserve">Outcomes (e.g. switching banks) are their own kind, feeding KPI tiles.</t>
  </si>
  <si>
    <t xml:space="preserve">D14</t>
  </si>
  <si>
    <t xml:space="preserve">Hand curation in curation.yaml keyed by label with anchor reviews.</t>
  </si>
  <si>
    <t xml:space="preserve">Issue labels and anchors removed (decision 4); areas and roles remain.</t>
  </si>
  <si>
    <t xml:space="preserve">D15</t>
  </si>
  <si>
    <t xml:space="preserve">Periodic overview: one 28-day period against 'usual' (mean of earlier periods); change = Poisson test, p &lt; 0.05, at least 3 reviews.</t>
  </si>
  <si>
    <t xml:space="preserve">3 baseline periods in the demo (D17).</t>
  </si>
  <si>
    <t xml:space="preserve">D16</t>
  </si>
  <si>
    <t xml:space="preserve">Issues filed by product area; each role reads only its areas.</t>
  </si>
  <si>
    <t xml:space="preserve">Areas and roles still to validate with the team.</t>
  </si>
  <si>
    <t xml:space="preserve">D17</t>
  </si>
  <si>
    <t xml:space="preserve">Demo standard (see R41).</t>
  </si>
  <si>
    <t xml:space="preserve">T01</t>
  </si>
  <si>
    <t xml:space="preserve">Trial method</t>
  </si>
  <si>
    <t xml:space="preserve">Pass criteria are written before any run; revisions are dated and made before the held-out slice is labelled.</t>
  </si>
  <si>
    <t xml:space="preserve">trials/llm-trials.md Viability test</t>
  </si>
  <si>
    <t xml:space="preserve">T02</t>
  </si>
  <si>
    <t xml:space="preserve">Stop a trial once its main measure or a gate clearly fails.</t>
  </si>
  <si>
    <t xml:space="preserve">Project memory; trials/llm-trials.md</t>
  </si>
  <si>
    <t xml:space="preserve">T03</t>
  </si>
  <si>
    <t xml:space="preserve">Upgrades are stacked into one trial with drop-one ablations, not one trial each.</t>
  </si>
  <si>
    <t xml:space="preserve">T04</t>
  </si>
  <si>
    <t xml:space="preserve">Prompt examples come from an unrelated domain (food delivery), so the model cannot copy them.</t>
  </si>
  <si>
    <t xml:space="preserve">trials/llm-trials.md trials 1–2</t>
  </si>
  <si>
    <t xml:space="preserve">T05</t>
  </si>
  <si>
    <t xml:space="preserve">Gold labels are written blind, before reading the model's output; labeller is Claude (larger than the model under test) until the team labels a set.</t>
  </si>
  <si>
    <t xml:space="preserve">T06</t>
  </si>
  <si>
    <t xml:space="preserve">Design faults are worked first; operational and validation work last.</t>
  </si>
  <si>
    <t xml:space="preserve">Project memory; trials/llm-trials.md decision 5</t>
  </si>
  <si>
    <t xml:space="preserve">T07</t>
  </si>
  <si>
    <t xml:space="preserve">A method's result is reported over several input orders (pass rate), not one draw.</t>
  </si>
  <si>
    <t xml:space="preserve">trials/llm-trials.md Port check, fix 1</t>
  </si>
  <si>
    <t xml:space="preserve">Adopted by the embedding-route trials (5 orders); pv issues not yet re-measured.</t>
  </si>
  <si>
    <t xml:space="preserve">Test</t>
  </si>
  <si>
    <t xml:space="preserve">Gate</t>
  </si>
  <si>
    <t xml:space="preserve">Measure</t>
  </si>
  <si>
    <t xml:space="preserve">Definition</t>
  </si>
  <si>
    <t xml:space="preserve">Comparator</t>
  </si>
  <si>
    <t xml:space="preserve">Bar</t>
  </si>
  <si>
    <t xml:space="preserve">Unit</t>
  </si>
  <si>
    <t xml:space="preserve">Why this bar</t>
  </si>
  <si>
    <t xml:space="preserve">Set on</t>
  </si>
  <si>
    <t xml:space="preserve">Viability test</t>
  </si>
  <si>
    <t xml:space="preserve">G1</t>
  </si>
  <si>
    <t xml:space="preserve">Quotes exact</t>
  </si>
  <si>
    <t xml:space="preserve">Share of quotes found verbatim in their review.</t>
  </si>
  <si>
    <t xml:space="preserve">&gt;=</t>
  </si>
  <si>
    <t xml:space="preserve">%</t>
  </si>
  <si>
    <t xml:space="preserve">The link back to the review is the traceability promise.</t>
  </si>
  <si>
    <t xml:space="preserve">2026-10-13</t>
  </si>
  <si>
    <t xml:space="preserve">Active</t>
  </si>
  <si>
    <t xml:space="preserve">G2</t>
  </si>
  <si>
    <t xml:space="preserve">Precision</t>
  </si>
  <si>
    <t xml:space="preserve">Of points the model files under an issue, the share the gold label agrees with. Matches to a concept judged broad count as misses.</t>
  </si>
  <si>
    <t xml:space="preserve">A reader sees at most one off-topic quote in four.</t>
  </si>
  <si>
    <t xml:space="preserve">Viability test (re-run)</t>
  </si>
  <si>
    <t xml:space="preserve">As above.</t>
  </si>
  <si>
    <t xml:space="preserve">Production's 43% plus about the G7 margin: anchored to what is live, not to the model's own numbers.</t>
  </si>
  <si>
    <t xml:space="preserve">2026-10-13 (after V1, before V2 labelled)</t>
  </si>
  <si>
    <t xml:space="preserve">G3</t>
  </si>
  <si>
    <t xml:space="preserve">Recall</t>
  </si>
  <si>
    <t xml:space="preserve">Of points the label files under an issue, the share the model files under one of the same.</t>
  </si>
  <si>
    <t xml:space="preserve">Most of an issue's evidence reaches its page.</t>
  </si>
  <si>
    <t xml:space="preserve">G4</t>
  </si>
  <si>
    <t xml:space="preserve">Grab-bags</t>
  </si>
  <si>
    <t xml:space="preserve">Issue concepts with ≥ 5 matches and precision &lt; 50%.</t>
  </si>
  <si>
    <t xml:space="preserve">&lt;=</t>
  </si>
  <si>
    <t xml:space="preserve">count</t>
  </si>
  <si>
    <t xml:space="preserve">The catch-alls of trials 12–13 are the fault this design exists to fix.</t>
  </si>
  <si>
    <t xml:space="preserve">Broad live issues</t>
  </si>
  <si>
    <t xml:space="preserve">Live issue concepts judged broad (no single feature and failure a team could own).</t>
  </si>
  <si>
    <t xml:space="preserve">Specific concepts with low precision are scorer errors: reported, not gated.</t>
  </si>
  <si>
    <t xml:space="preserve">2026-10-13 (after V1)</t>
  </si>
  <si>
    <t xml:space="preserve">G5</t>
  </si>
  <si>
    <t xml:space="preserve">Duplicates</t>
  </si>
  <si>
    <t xml:space="preserve">Issue concepts that repeat another live one.</t>
  </si>
  <si>
    <t xml:space="preserve">One issue, one page.</t>
  </si>
  <si>
    <t xml:space="preserve">G6</t>
  </si>
  <si>
    <t xml:space="preserve">Persistence</t>
  </si>
  <si>
    <t xml:space="preserve">New concepts that duplicate one carried from an earlier slice.</t>
  </si>
  <si>
    <t xml:space="preserve">Stable issue ids.</t>
  </si>
  <si>
    <t xml:space="preserve">G6b</t>
  </si>
  <si>
    <t xml:space="preserve">Carried concepts unchanged</t>
  </si>
  <si>
    <t xml:space="preserve">No carried concept's name or criterion changes on a later slice.</t>
  </si>
  <si>
    <t xml:space="preserve">A stable id whose meaning drifts is worse than none (first run's C038).</t>
  </si>
  <si>
    <t xml:space="preserve">G7</t>
  </si>
  <si>
    <t xml:space="preserve">Better than production</t>
  </si>
  <si>
    <t xml:space="preserve">On V1: share of a page's quotes that sit under a specific named issue and fit it, minus production's share (43%).</t>
  </si>
  <si>
    <t xml:space="preserve">pts</t>
  </si>
  <si>
    <t xml:space="preserve">Worth replacing what is live.</t>
  </si>
  <si>
    <t xml:space="preserve">Pass</t>
  </si>
  <si>
    <t xml:space="preserve">Overall</t>
  </si>
  <si>
    <t xml:space="preserve">Every gate on both held-out slices V2 and V3. G7 is the only gate on V1 (V1 is in-sample).</t>
  </si>
  <si>
    <t xml:space="preserve">Scorer tuning</t>
  </si>
  <si>
    <t xml:space="preserve">TU1</t>
  </si>
  <si>
    <t xml:space="preserve">Variant kept</t>
  </si>
  <si>
    <t xml:space="preserve">Raises GPT precision beyond run-to-run noise (~2 pts) and costs Qwen ≤ 3 pts of precision or recall on V1.</t>
  </si>
  <si>
    <t xml:space="preserve">Same prompt must serve both models.</t>
  </si>
  <si>
    <t xml:space="preserve">2026-10-14</t>
  </si>
  <si>
    <t xml:space="preserve">TU2</t>
  </si>
  <si>
    <t xml:space="preserve">Held-out scorer precision</t>
  </si>
  <si>
    <t xml:space="preserve">Kept variant on V2, both models.</t>
  </si>
  <si>
    <t xml:space="preserve">Same bar as G2.</t>
  </si>
  <si>
    <t xml:space="preserve">TU3</t>
  </si>
  <si>
    <t xml:space="preserve">Held-out scorer recall</t>
  </si>
  <si>
    <t xml:space="preserve">Same bar as G3.</t>
  </si>
  <si>
    <t xml:space="preserve">TU4</t>
  </si>
  <si>
    <t xml:space="preserve">OpenAI spend</t>
  </si>
  <si>
    <t xml:space="preserve">Total spend for the round.</t>
  </si>
  <si>
    <t xml:space="preserve">USD</t>
  </si>
  <si>
    <t xml:space="preserve">Cost cap.</t>
  </si>
  <si>
    <t xml:space="preserve">Embedding route</t>
  </si>
  <si>
    <t xml:space="preserve">E1</t>
  </si>
  <si>
    <t xml:space="preserve">Stack kept</t>
  </si>
  <si>
    <t xml:space="preserve">Beats B0 by more than B0's spread across 5 orders on precision or tone (medians).</t>
  </si>
  <si>
    <t xml:space="preserve">Improvement must exceed order noise.</t>
  </si>
  <si>
    <t xml:space="preserve">E2</t>
  </si>
  <si>
    <t xml:space="preserve">Recall loss vs B0</t>
  </si>
  <si>
    <t xml:space="preserve">Fall in median recall from B0 to the stack.</t>
  </si>
  <si>
    <t xml:space="preserve">No trading recall for precision.</t>
  </si>
  <si>
    <t xml:space="preserve">E3</t>
  </si>
  <si>
    <t xml:space="preserve">Fix stays in stack</t>
  </si>
  <si>
    <t xml:space="preserve">Dropping it worsens its main measure by more than B0's spread, or costs precision or recall more than 3 pts.</t>
  </si>
  <si>
    <t xml:space="preserve">Removes dead weight.</t>
  </si>
  <si>
    <t xml:space="preserve">E4</t>
  </si>
  <si>
    <t xml:space="preserve">Held-out precision (P)</t>
  </si>
  <si>
    <t xml:space="preserve">Of labelled sentences in issue clusters, the share whose labels include the cluster's issue; general and non-complaint sentences count as misses.</t>
  </si>
  <si>
    <t xml:space="preserve">The pv issues bar.</t>
  </si>
  <si>
    <t xml:space="preserve">E5</t>
  </si>
  <si>
    <t xml:space="preserve">Held-out recall (R)</t>
  </si>
  <si>
    <t xml:space="preserve">Of issue-labelled points, the share with a sentence in a cluster credited with that issue.</t>
  </si>
  <si>
    <t xml:space="preserve">E6</t>
  </si>
  <si>
    <t xml:space="preserve">Tone clusters</t>
  </si>
  <si>
    <t xml:space="preserve">Clusters with ≥ 3 labelled sentences, most of them general or not a complaint.</t>
  </si>
  <si>
    <t xml:space="preserve">The fault that started the LLM work.</t>
  </si>
  <si>
    <t xml:space="preserve">E7</t>
  </si>
  <si>
    <t xml:space="preserve">Clusters with ≥ 5 labelled sentences and P &lt; 50%.</t>
  </si>
  <si>
    <t xml:space="preserve">As G4.</t>
  </si>
  <si>
    <t xml:space="preserve">E8</t>
  </si>
  <si>
    <t xml:space="preserve">Stability</t>
  </si>
  <si>
    <t xml:space="preserve">Adjusted Rand index between the 5 orders' clusterings.</t>
  </si>
  <si>
    <t xml:space="preserve">ARI</t>
  </si>
  <si>
    <t xml:space="preserve">Reported, not gated.</t>
  </si>
  <si>
    <t xml:space="preserve">E9</t>
  </si>
  <si>
    <t xml:space="preserve">Persistence (U5)</t>
  </si>
  <si>
    <t xml:space="preserve">V1 points of issues carried from V2 that land on the issue id born in Feb; no carried issue drifts.</t>
  </si>
  <si>
    <t xml:space="preserve">Stable ids.</t>
  </si>
  <si>
    <t xml:space="preserve">Rule</t>
  </si>
  <si>
    <t xml:space="preserve">Rule text</t>
  </si>
  <si>
    <t xml:space="preserve">Three 100-review slices run in a chain: V1 builds concepts (in-sample, not gated except G7), V2 and V3 held out, each scored against earlier concepts first.</t>
  </si>
  <si>
    <t xml:space="preserve">Gold labels written before looking at the model's matches; blind and corrected figures both reported when labels are revised in the model's favour.</t>
  </si>
  <si>
    <t xml:space="preserve">A broad concept's matches count as misses in G2 and G7.</t>
  </si>
  <si>
    <t xml:space="preserve">Uncovered points are reported, not gated.</t>
  </si>
  <si>
    <t xml:space="preserve">Viability re-run</t>
  </si>
  <si>
    <t xml:space="preserve">Settings fixed before any run; the breadth prompt may be tuned on V1 only.</t>
  </si>
  <si>
    <t xml:space="preserve">Gate revisions made after V1 and before V2 was labelled, and recorded with dates.</t>
  </si>
  <si>
    <t xml:space="preserve">Cost controls</t>
  </si>
  <si>
    <t xml:space="preserve">Controls that change what the model is asked are re-validated on the local model against the same gold labels before use.</t>
  </si>
  <si>
    <t xml:space="preserve">Tune on V1 only, at most two variants and their combination; no rewording after seeing per-concept results.</t>
  </si>
  <si>
    <t xml:space="preserve">The same prompt for both models.</t>
  </si>
  <si>
    <t xml:space="preserve">The kept variant runs once on held-out V2; then one end-to-end pv issues run if the scorer passes.</t>
  </si>
  <si>
    <t xml:space="preserve">OpenAI spend capped at $3; nano first, mini only for the final variant.</t>
  </si>
  <si>
    <t xml:space="preserve">Tune on V1 only, at most 3 variants of the stack, every variant reported.</t>
  </si>
  <si>
    <t xml:space="preserve">Each run in 5 shuffled input orders, reported as median and range.</t>
  </si>
  <si>
    <t xml:space="preserve">The final stack runs once on the held-out window (V2).</t>
  </si>
  <si>
    <t xml:space="preserve">A trial stops once its main measure clearly fails.</t>
  </si>
  <si>
    <t xml:space="preserve">Hand judgments are made by Claude, a larger model than the one under test.</t>
  </si>
  <si>
    <t xml:space="preserve">All trials</t>
  </si>
  <si>
    <t xml:space="preserve">Model calls cached by request, options included in the key.</t>
  </si>
  <si>
    <t xml:space="preserve">Date</t>
  </si>
  <si>
    <t xml:space="preserve">Run</t>
  </si>
  <si>
    <t xml:space="preserve">Slice</t>
  </si>
  <si>
    <t xml:space="preserve">Gated?</t>
  </si>
  <si>
    <t xml:space="preserve">Value</t>
  </si>
  <si>
    <t xml:space="preserve">Meets bar</t>
  </si>
  <si>
    <t xml:space="preserve">Verdict as recorded</t>
  </si>
  <si>
    <t xml:space="preserve">Note</t>
  </si>
  <si>
    <t xml:space="preserve">viab-v1</t>
  </si>
  <si>
    <t xml:space="preserve">V1</t>
  </si>
  <si>
    <t xml:space="preserve">No</t>
  </si>
  <si>
    <t xml:space="preserve">Reference (in-sample)</t>
  </si>
  <si>
    <t xml:space="preserve">55% blind, 63% after correction</t>
  </si>
  <si>
    <t xml:space="preserve">75–76%</t>
  </si>
  <si>
    <t xml:space="preserve">Yes</t>
  </si>
  <si>
    <t xml:space="preserve">+12 blind, +20 after correction</t>
  </si>
  <si>
    <t xml:space="preserve">viab-v2</t>
  </si>
  <si>
    <t xml:space="preserve">V2</t>
  </si>
  <si>
    <t xml:space="preserve">Fail</t>
  </si>
  <si>
    <t xml:space="preserve">First reported as 100%, unchecked</t>
  </si>
  <si>
    <t xml:space="preserve">34 of 88</t>
  </si>
  <si>
    <t xml:space="preserve">But carried C038 absorbed new concepts; G6 did not catch it</t>
  </si>
  <si>
    <t xml:space="preserve">—</t>
  </si>
  <si>
    <t xml:space="preserve">V3</t>
  </si>
  <si>
    <t xml:space="preserve">V3 not run: V2 failed</t>
  </si>
  <si>
    <t xml:space="preserve">sel-v1</t>
  </si>
  <si>
    <t xml:space="preserve">63 vs 43</t>
  </si>
  <si>
    <t xml:space="preserve">sel-v2</t>
  </si>
  <si>
    <t xml:space="preserve">Marginal</t>
  </si>
  <si>
    <t xml:space="preserve">5 of 231; none changes meaning (quote marks, ellipses)</t>
  </si>
  <si>
    <t xml:space="preserve">50 of 72</t>
  </si>
  <si>
    <t xml:space="preserve">2 if 'User cannot locate requested items' counts as broad</t>
  </si>
  <si>
    <t xml:space="preserve">sel-v3</t>
  </si>
  <si>
    <t xml:space="preserve">2 of 281</t>
  </si>
  <si>
    <t xml:space="preserve">114 of 144</t>
  </si>
  <si>
    <t xml:space="preserve">Same concepts as V2</t>
  </si>
  <si>
    <t xml:space="preserve">Recall not labelled</t>
  </si>
  <si>
    <t xml:space="preserve">cc-v1 (all three controls)</t>
  </si>
  <si>
    <t xml:space="preserve">39 of 110</t>
  </si>
  <si>
    <t xml:space="preserve">Fell from 77%; chain stopped before V2</t>
  </si>
  <si>
    <t xml:space="preserve">ablate: validated scorer</t>
  </si>
  <si>
    <t xml:space="preserve">Kept</t>
  </si>
  <si>
    <t xml:space="preserve">No selection; recall 78%</t>
  </si>
  <si>
    <t xml:space="preserve">ablate: compact letters</t>
  </si>
  <si>
    <t xml:space="preserve">Not kept</t>
  </si>
  <si>
    <t xml:space="preserve">Recall 75%</t>
  </si>
  <si>
    <t xml:space="preserve">ablate: 30 per call</t>
  </si>
  <si>
    <t xml:space="preserve">Recall 78%</t>
  </si>
  <si>
    <t xml:space="preserve">ablate: 10 nearest</t>
  </si>
  <si>
    <t xml:space="preserve">Recall 73%; not validated</t>
  </si>
  <si>
    <t xml:space="preserve">ablate: all three</t>
  </si>
  <si>
    <t xml:space="preserve">Recall 61%</t>
  </si>
  <si>
    <t xml:space="preserve">OpenAI first check</t>
  </si>
  <si>
    <t xml:space="preserve">scorer: nano, reasoning none</t>
  </si>
  <si>
    <t xml:space="preserve">32–36% across identical runs; recall 80–84%</t>
  </si>
  <si>
    <t xml:space="preserve">scorer: nano, low</t>
  </si>
  <si>
    <t xml:space="preserve">Recall 89%</t>
  </si>
  <si>
    <t xml:space="preserve">scorer: nano, medium</t>
  </si>
  <si>
    <t xml:space="preserve">Recall 87%</t>
  </si>
  <si>
    <t xml:space="preserve">scorer: mini, none</t>
  </si>
  <si>
    <t xml:space="preserve">Recall 73%</t>
  </si>
  <si>
    <t xml:space="preserve">scorer: mini, low</t>
  </si>
  <si>
    <t xml:space="preserve">pv issues end to end (nano + mini)</t>
  </si>
  <si>
    <t xml:space="preserve">Newest month</t>
  </si>
  <si>
    <t xml:space="preserve">'Bank connection is difficult' took 104 points; 5 issues kept</t>
  </si>
  <si>
    <t xml:space="preserve">nano, S1 anchor</t>
  </si>
  <si>
    <t xml:space="preserve">From 38%; recall 88%</t>
  </si>
  <si>
    <t xml:space="preserve">nano, S2 feature first</t>
  </si>
  <si>
    <t xml:space="preserve">Recall 90%</t>
  </si>
  <si>
    <t xml:space="preserve">nano, S1 + S2</t>
  </si>
  <si>
    <t xml:space="preserve">mini, S1 anchor</t>
  </si>
  <si>
    <t xml:space="preserve">From 53%; recall 74%</t>
  </si>
  <si>
    <t xml:space="preserve">round total</t>
  </si>
  <si>
    <t xml:space="preserve">Held-out step not run</t>
  </si>
  <si>
    <t xml:space="preserve">Port check</t>
  </si>
  <si>
    <t xml:space="preserve">pv issues on V1 (Qwen)</t>
  </si>
  <si>
    <t xml:space="preserve">268 of 268</t>
  </si>
  <si>
    <t xml:space="preserve">63 of 140; 59% without catch-all C011</t>
  </si>
  <si>
    <t xml:space="preserve">Catch-all passed the breadth check and displaced 3 sign-in issues</t>
  </si>
  <si>
    <t xml:space="preserve">45 vs 43</t>
  </si>
  <si>
    <t xml:space="preserve">B0 (old pipeline)</t>
  </si>
  <si>
    <t xml:space="preserve">Dev window (V1 labels)</t>
  </si>
  <si>
    <t xml:space="preserve">Reference</t>
  </si>
  <si>
    <t xml:space="preserve">Range 30–32%</t>
  </si>
  <si>
    <t xml:space="preserve">Range 66–71%</t>
  </si>
  <si>
    <t xml:space="preserve">Split: 5</t>
  </si>
  <si>
    <t xml:space="preserve">Final stack U2+U4+U6</t>
  </si>
  <si>
    <t xml:space="preserve">68% → 59%</t>
  </si>
  <si>
    <t xml:space="preserve">Range 39–41%; 46% counting complaint points only</t>
  </si>
  <si>
    <t xml:space="preserve">Range 57–60%</t>
  </si>
  <si>
    <t xml:space="preserve">U1 word rarity (drop-one)</t>
  </si>
  <si>
    <t xml:space="preserve">Noisy; tone better without it</t>
  </si>
  <si>
    <t xml:space="preserve">U2 range cap (drop-one)</t>
  </si>
  <si>
    <t xml:space="preserve">Worth 7 pts of P; quotes by closeness beat thumbs-up by 3–10 pts</t>
  </si>
  <si>
    <t xml:space="preserve">U3 join duplicates (drop-one)</t>
  </si>
  <si>
    <t xml:space="preserve">About one join per run; split unchanged</t>
  </si>
  <si>
    <t xml:space="preserve">U4 sentiment per sentence (drop-one)</t>
  </si>
  <si>
    <t xml:space="preserve">+4 P, no recall gain (its main measure)</t>
  </si>
  <si>
    <t xml:space="preserve">U6 consensus (drop-one)</t>
  </si>
  <si>
    <t xml:space="preserve">Stability 0.86 → 0.94</t>
  </si>
  <si>
    <t xml:space="preserve">U5, L1, L2, held-out run</t>
  </si>
  <si>
    <t xml:space="preserve">Not run: cannot change cluster membership, so cannot close the P gap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</si>
</sst>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"/>
    <numFmt numFmtId="167" formatCode="\$0"/>
    <numFmt numFmtId="168" formatCode="0.0%"/>
    <numFmt numFmtId="169" formatCode="\+0&quot; pts&quot;"/>
    <numFmt numFmtId="170" formatCode="\$0.00"/>
    <numFmt numFmtId="171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DEDED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24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24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/>
      <c r="B6" s="2"/>
    </row>
    <row r="7" customFormat="false" ht="24" hidden="false" customHeight="false" outlineLevel="0" collapsed="false">
      <c r="A7" s="2" t="s">
        <v>10</v>
      </c>
      <c r="B7" s="2" t="s">
        <v>11</v>
      </c>
    </row>
    <row r="8" customFormat="false" ht="15" hidden="false" customHeight="false" outlineLevel="0" collapsed="false">
      <c r="A8" s="2" t="s">
        <v>12</v>
      </c>
      <c r="B8" s="2" t="s">
        <v>13</v>
      </c>
    </row>
    <row r="9" customFormat="false" ht="24" hidden="false" customHeight="false" outlineLevel="0" collapsed="false">
      <c r="A9" s="2" t="s">
        <v>14</v>
      </c>
      <c r="B9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70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customFormat="false" ht="24" hidden="false" customHeight="false" outlineLevel="0" collapsed="false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</row>
    <row r="3" customFormat="false" ht="24" hidden="false" customHeight="false" outlineLevel="0" collapsed="false">
      <c r="A3" s="2" t="s">
        <v>28</v>
      </c>
      <c r="B3" s="2" t="s">
        <v>23</v>
      </c>
      <c r="C3" s="2" t="s">
        <v>29</v>
      </c>
      <c r="D3" s="2" t="s">
        <v>25</v>
      </c>
      <c r="E3" s="2" t="s">
        <v>26</v>
      </c>
      <c r="F3" s="2" t="s">
        <v>30</v>
      </c>
    </row>
    <row r="4" customFormat="false" ht="35" hidden="false" customHeight="false" outlineLevel="0" collapsed="false">
      <c r="A4" s="2" t="s">
        <v>31</v>
      </c>
      <c r="B4" s="2" t="s">
        <v>23</v>
      </c>
      <c r="C4" s="2" t="s">
        <v>32</v>
      </c>
      <c r="D4" s="2" t="s">
        <v>33</v>
      </c>
      <c r="E4" s="2" t="s">
        <v>34</v>
      </c>
      <c r="F4" s="2" t="s">
        <v>35</v>
      </c>
    </row>
    <row r="5" customFormat="false" ht="24" hidden="false" customHeight="false" outlineLevel="0" collapsed="false">
      <c r="A5" s="2" t="s">
        <v>36</v>
      </c>
      <c r="B5" s="2" t="s">
        <v>23</v>
      </c>
      <c r="C5" s="2" t="s">
        <v>37</v>
      </c>
      <c r="D5" s="2" t="s">
        <v>25</v>
      </c>
      <c r="E5" s="2" t="s">
        <v>38</v>
      </c>
      <c r="F5" s="2" t="s">
        <v>39</v>
      </c>
    </row>
    <row r="6" customFormat="false" ht="15" hidden="false" customHeight="false" outlineLevel="0" collapsed="false">
      <c r="A6" s="2" t="s">
        <v>40</v>
      </c>
      <c r="B6" s="2" t="s">
        <v>23</v>
      </c>
      <c r="C6" s="2" t="s">
        <v>41</v>
      </c>
      <c r="D6" s="2" t="s">
        <v>25</v>
      </c>
      <c r="E6" s="2" t="s">
        <v>38</v>
      </c>
      <c r="F6" s="2" t="s">
        <v>42</v>
      </c>
    </row>
    <row r="7" customFormat="false" ht="15" hidden="false" customHeight="false" outlineLevel="0" collapsed="false">
      <c r="A7" s="2" t="s">
        <v>43</v>
      </c>
      <c r="B7" s="2" t="s">
        <v>23</v>
      </c>
      <c r="C7" s="2" t="s">
        <v>44</v>
      </c>
      <c r="D7" s="2" t="s">
        <v>25</v>
      </c>
      <c r="E7" s="2" t="s">
        <v>38</v>
      </c>
      <c r="F7" s="2" t="s">
        <v>45</v>
      </c>
    </row>
    <row r="8" customFormat="false" ht="35" hidden="false" customHeight="false" outlineLevel="0" collapsed="false">
      <c r="A8" s="2" t="s">
        <v>46</v>
      </c>
      <c r="B8" s="2" t="s">
        <v>47</v>
      </c>
      <c r="C8" s="2" t="s">
        <v>48</v>
      </c>
      <c r="D8" s="2" t="s">
        <v>25</v>
      </c>
      <c r="E8" s="2" t="s">
        <v>34</v>
      </c>
      <c r="F8" s="2" t="s">
        <v>49</v>
      </c>
    </row>
    <row r="9" customFormat="false" ht="24" hidden="false" customHeight="false" outlineLevel="0" collapsed="false">
      <c r="A9" s="2" t="s">
        <v>50</v>
      </c>
      <c r="B9" s="2" t="s">
        <v>51</v>
      </c>
      <c r="C9" s="2" t="s">
        <v>52</v>
      </c>
      <c r="D9" s="2" t="s">
        <v>25</v>
      </c>
      <c r="E9" s="2" t="s">
        <v>38</v>
      </c>
      <c r="F9" s="2"/>
    </row>
    <row r="10" customFormat="false" ht="15" hidden="false" customHeight="false" outlineLevel="0" collapsed="false">
      <c r="A10" s="2" t="s">
        <v>53</v>
      </c>
      <c r="B10" s="2" t="s">
        <v>51</v>
      </c>
      <c r="C10" s="2" t="s">
        <v>54</v>
      </c>
      <c r="D10" s="2" t="s">
        <v>25</v>
      </c>
      <c r="E10" s="2" t="s">
        <v>38</v>
      </c>
      <c r="F10" s="2"/>
    </row>
    <row r="11" customFormat="false" ht="15" hidden="false" customHeight="false" outlineLevel="0" collapsed="false">
      <c r="A11" s="2" t="s">
        <v>55</v>
      </c>
      <c r="B11" s="2" t="s">
        <v>51</v>
      </c>
      <c r="C11" s="2" t="s">
        <v>56</v>
      </c>
      <c r="D11" s="2" t="s">
        <v>25</v>
      </c>
      <c r="E11" s="2" t="s">
        <v>38</v>
      </c>
      <c r="F11" s="2"/>
    </row>
    <row r="12" customFormat="false" ht="15" hidden="false" customHeight="false" outlineLevel="0" collapsed="false">
      <c r="A12" s="2" t="s">
        <v>57</v>
      </c>
      <c r="B12" s="2" t="s">
        <v>51</v>
      </c>
      <c r="C12" s="2" t="s">
        <v>58</v>
      </c>
      <c r="D12" s="2" t="s">
        <v>25</v>
      </c>
      <c r="E12" s="2" t="s">
        <v>38</v>
      </c>
      <c r="F12" s="2"/>
    </row>
    <row r="13" customFormat="false" ht="15" hidden="false" customHeight="false" outlineLevel="0" collapsed="false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38</v>
      </c>
      <c r="F13" s="2"/>
    </row>
    <row r="14" customFormat="false" ht="15" hidden="false" customHeight="false" outlineLevel="0" collapsed="false">
      <c r="A14" s="2" t="s">
        <v>63</v>
      </c>
      <c r="B14" s="2" t="s">
        <v>60</v>
      </c>
      <c r="C14" s="2" t="s">
        <v>64</v>
      </c>
      <c r="D14" s="2" t="s">
        <v>62</v>
      </c>
      <c r="E14" s="2" t="s">
        <v>38</v>
      </c>
      <c r="F14" s="2"/>
    </row>
    <row r="15" customFormat="false" ht="15" hidden="false" customHeight="false" outlineLevel="0" collapsed="false">
      <c r="A15" s="2" t="s">
        <v>65</v>
      </c>
      <c r="B15" s="2" t="s">
        <v>60</v>
      </c>
      <c r="C15" s="2" t="s">
        <v>66</v>
      </c>
      <c r="D15" s="2" t="s">
        <v>62</v>
      </c>
      <c r="E15" s="2" t="s">
        <v>38</v>
      </c>
      <c r="F15" s="2"/>
    </row>
    <row r="16" customFormat="false" ht="15" hidden="false" customHeight="false" outlineLevel="0" collapsed="false">
      <c r="A16" s="2" t="s">
        <v>67</v>
      </c>
      <c r="B16" s="2" t="s">
        <v>60</v>
      </c>
      <c r="C16" s="2" t="s">
        <v>68</v>
      </c>
      <c r="D16" s="2" t="s">
        <v>62</v>
      </c>
      <c r="E16" s="2" t="s">
        <v>38</v>
      </c>
      <c r="F16" s="2"/>
    </row>
    <row r="17" customFormat="false" ht="15" hidden="false" customHeight="false" outlineLevel="0" collapsed="false">
      <c r="A17" s="2" t="s">
        <v>69</v>
      </c>
      <c r="B17" s="2" t="s">
        <v>60</v>
      </c>
      <c r="C17" s="2" t="s">
        <v>70</v>
      </c>
      <c r="D17" s="2" t="s">
        <v>62</v>
      </c>
      <c r="E17" s="2" t="s">
        <v>38</v>
      </c>
      <c r="F17" s="2"/>
    </row>
    <row r="18" customFormat="false" ht="15" hidden="false" customHeight="false" outlineLevel="0" collapsed="false">
      <c r="A18" s="2" t="s">
        <v>71</v>
      </c>
      <c r="B18" s="2" t="s">
        <v>60</v>
      </c>
      <c r="C18" s="2" t="s">
        <v>72</v>
      </c>
      <c r="D18" s="2" t="s">
        <v>62</v>
      </c>
      <c r="E18" s="2" t="s">
        <v>38</v>
      </c>
      <c r="F18" s="2"/>
    </row>
    <row r="19" customFormat="false" ht="15" hidden="false" customHeight="false" outlineLevel="0" collapsed="false">
      <c r="A19" s="2" t="s">
        <v>73</v>
      </c>
      <c r="B19" s="2" t="s">
        <v>60</v>
      </c>
      <c r="C19" s="2" t="s">
        <v>74</v>
      </c>
      <c r="D19" s="2" t="s">
        <v>62</v>
      </c>
      <c r="E19" s="2" t="s">
        <v>38</v>
      </c>
      <c r="F19" s="2"/>
    </row>
    <row r="20" customFormat="false" ht="15" hidden="false" customHeight="false" outlineLevel="0" collapsed="false">
      <c r="A20" s="2" t="s">
        <v>75</v>
      </c>
      <c r="B20" s="2" t="s">
        <v>60</v>
      </c>
      <c r="C20" s="2" t="s">
        <v>76</v>
      </c>
      <c r="D20" s="2" t="s">
        <v>62</v>
      </c>
      <c r="E20" s="2" t="s">
        <v>34</v>
      </c>
      <c r="F20" s="2" t="s">
        <v>77</v>
      </c>
    </row>
    <row r="21" customFormat="false" ht="15" hidden="false" customHeight="false" outlineLevel="0" collapsed="false">
      <c r="A21" s="2" t="s">
        <v>78</v>
      </c>
      <c r="B21" s="2" t="s">
        <v>79</v>
      </c>
      <c r="C21" s="2" t="s">
        <v>80</v>
      </c>
      <c r="D21" s="2" t="s">
        <v>81</v>
      </c>
      <c r="E21" s="2" t="s">
        <v>38</v>
      </c>
      <c r="F21" s="2"/>
    </row>
    <row r="22" customFormat="false" ht="15" hidden="false" customHeight="false" outlineLevel="0" collapsed="false">
      <c r="A22" s="2" t="s">
        <v>82</v>
      </c>
      <c r="B22" s="2" t="s">
        <v>79</v>
      </c>
      <c r="C22" s="2" t="s">
        <v>83</v>
      </c>
      <c r="D22" s="2" t="s">
        <v>81</v>
      </c>
      <c r="E22" s="2" t="s">
        <v>38</v>
      </c>
      <c r="F22" s="2"/>
    </row>
    <row r="23" customFormat="false" ht="15" hidden="false" customHeight="false" outlineLevel="0" collapsed="false">
      <c r="A23" s="2" t="s">
        <v>84</v>
      </c>
      <c r="B23" s="2" t="s">
        <v>79</v>
      </c>
      <c r="C23" s="2" t="s">
        <v>85</v>
      </c>
      <c r="D23" s="2" t="s">
        <v>81</v>
      </c>
      <c r="E23" s="2" t="s">
        <v>38</v>
      </c>
      <c r="F23" s="2"/>
    </row>
    <row r="24" customFormat="false" ht="24" hidden="false" customHeight="false" outlineLevel="0" collapsed="false">
      <c r="A24" s="2" t="s">
        <v>86</v>
      </c>
      <c r="B24" s="2" t="s">
        <v>79</v>
      </c>
      <c r="C24" s="2" t="s">
        <v>87</v>
      </c>
      <c r="D24" s="2" t="s">
        <v>81</v>
      </c>
      <c r="E24" s="2" t="s">
        <v>38</v>
      </c>
      <c r="F24" s="2"/>
    </row>
    <row r="25" customFormat="false" ht="24" hidden="false" customHeight="false" outlineLevel="0" collapsed="false">
      <c r="A25" s="2" t="s">
        <v>88</v>
      </c>
      <c r="B25" s="2" t="s">
        <v>89</v>
      </c>
      <c r="C25" s="2" t="s">
        <v>90</v>
      </c>
      <c r="D25" s="2" t="s">
        <v>91</v>
      </c>
      <c r="E25" s="2" t="s">
        <v>38</v>
      </c>
      <c r="F25" s="2" t="s">
        <v>92</v>
      </c>
    </row>
    <row r="26" customFormat="false" ht="24" hidden="false" customHeight="false" outlineLevel="0" collapsed="false">
      <c r="A26" s="2" t="s">
        <v>93</v>
      </c>
      <c r="B26" s="2" t="s">
        <v>89</v>
      </c>
      <c r="C26" s="2" t="s">
        <v>94</v>
      </c>
      <c r="D26" s="2" t="s">
        <v>95</v>
      </c>
      <c r="E26" s="2" t="s">
        <v>38</v>
      </c>
      <c r="F26" s="2" t="s">
        <v>96</v>
      </c>
    </row>
    <row r="27" customFormat="false" ht="24" hidden="false" customHeight="false" outlineLevel="0" collapsed="false">
      <c r="A27" s="2" t="s">
        <v>97</v>
      </c>
      <c r="B27" s="2" t="s">
        <v>89</v>
      </c>
      <c r="C27" s="2" t="s">
        <v>98</v>
      </c>
      <c r="D27" s="2" t="s">
        <v>99</v>
      </c>
      <c r="E27" s="2" t="s">
        <v>38</v>
      </c>
      <c r="F27" s="2" t="s">
        <v>100</v>
      </c>
    </row>
    <row r="28" customFormat="false" ht="24" hidden="false" customHeight="false" outlineLevel="0" collapsed="false">
      <c r="A28" s="2" t="s">
        <v>101</v>
      </c>
      <c r="B28" s="2" t="s">
        <v>89</v>
      </c>
      <c r="C28" s="2" t="s">
        <v>102</v>
      </c>
      <c r="D28" s="2" t="s">
        <v>103</v>
      </c>
      <c r="E28" s="2" t="s">
        <v>38</v>
      </c>
      <c r="F28" s="2" t="s">
        <v>104</v>
      </c>
    </row>
    <row r="29" customFormat="false" ht="24" hidden="false" customHeight="false" outlineLevel="0" collapsed="false">
      <c r="A29" s="2" t="s">
        <v>105</v>
      </c>
      <c r="B29" s="2" t="s">
        <v>89</v>
      </c>
      <c r="C29" s="2" t="s">
        <v>106</v>
      </c>
      <c r="D29" s="2" t="s">
        <v>107</v>
      </c>
      <c r="E29" s="2" t="s">
        <v>38</v>
      </c>
      <c r="F29" s="2"/>
    </row>
    <row r="30" customFormat="false" ht="15" hidden="false" customHeight="false" outlineLevel="0" collapsed="false">
      <c r="A30" s="2" t="s">
        <v>108</v>
      </c>
      <c r="B30" s="2" t="s">
        <v>89</v>
      </c>
      <c r="C30" s="2" t="s">
        <v>109</v>
      </c>
      <c r="D30" s="2" t="s">
        <v>110</v>
      </c>
      <c r="E30" s="2" t="s">
        <v>26</v>
      </c>
      <c r="F30" s="2" t="s">
        <v>111</v>
      </c>
    </row>
    <row r="31" customFormat="false" ht="24" hidden="false" customHeight="false" outlineLevel="0" collapsed="false">
      <c r="A31" s="2" t="s">
        <v>112</v>
      </c>
      <c r="B31" s="2" t="s">
        <v>113</v>
      </c>
      <c r="C31" s="2" t="s">
        <v>114</v>
      </c>
      <c r="D31" s="2" t="s">
        <v>115</v>
      </c>
      <c r="E31" s="2" t="s">
        <v>38</v>
      </c>
      <c r="F31" s="2"/>
    </row>
    <row r="32" customFormat="false" ht="35" hidden="false" customHeight="false" outlineLevel="0" collapsed="false">
      <c r="A32" s="2" t="s">
        <v>116</v>
      </c>
      <c r="B32" s="2" t="s">
        <v>113</v>
      </c>
      <c r="C32" s="2" t="s">
        <v>117</v>
      </c>
      <c r="D32" s="2" t="s">
        <v>118</v>
      </c>
      <c r="E32" s="2" t="s">
        <v>34</v>
      </c>
      <c r="F32" s="2" t="s">
        <v>119</v>
      </c>
    </row>
    <row r="33" customFormat="false" ht="15" hidden="false" customHeight="false" outlineLevel="0" collapsed="false">
      <c r="A33" s="2" t="s">
        <v>120</v>
      </c>
      <c r="B33" s="2" t="s">
        <v>113</v>
      </c>
      <c r="C33" s="2" t="s">
        <v>121</v>
      </c>
      <c r="D33" s="2" t="s">
        <v>122</v>
      </c>
      <c r="E33" s="2" t="s">
        <v>38</v>
      </c>
      <c r="F33" s="2" t="s">
        <v>123</v>
      </c>
    </row>
    <row r="34" customFormat="false" ht="15" hidden="false" customHeight="false" outlineLevel="0" collapsed="false">
      <c r="A34" s="2" t="s">
        <v>124</v>
      </c>
      <c r="B34" s="2" t="s">
        <v>113</v>
      </c>
      <c r="C34" s="2" t="s">
        <v>125</v>
      </c>
      <c r="D34" s="2" t="s">
        <v>126</v>
      </c>
      <c r="E34" s="2" t="s">
        <v>38</v>
      </c>
      <c r="F34" s="2"/>
    </row>
    <row r="35" customFormat="false" ht="24" hidden="false" customHeight="false" outlineLevel="0" collapsed="false">
      <c r="A35" s="2" t="s">
        <v>127</v>
      </c>
      <c r="B35" s="2" t="s">
        <v>128</v>
      </c>
      <c r="C35" s="2" t="s">
        <v>129</v>
      </c>
      <c r="D35" s="2" t="s">
        <v>130</v>
      </c>
      <c r="E35" s="2" t="s">
        <v>38</v>
      </c>
      <c r="F35" s="2"/>
    </row>
    <row r="36" customFormat="false" ht="24" hidden="false" customHeight="false" outlineLevel="0" collapsed="false">
      <c r="A36" s="2" t="s">
        <v>131</v>
      </c>
      <c r="B36" s="2" t="s">
        <v>128</v>
      </c>
      <c r="C36" s="2" t="s">
        <v>132</v>
      </c>
      <c r="D36" s="2" t="s">
        <v>133</v>
      </c>
      <c r="E36" s="2" t="s">
        <v>38</v>
      </c>
      <c r="F36" s="2"/>
    </row>
    <row r="37" customFormat="false" ht="15" hidden="false" customHeight="false" outlineLevel="0" collapsed="false">
      <c r="A37" s="2" t="s">
        <v>134</v>
      </c>
      <c r="B37" s="2" t="s">
        <v>128</v>
      </c>
      <c r="C37" s="2" t="s">
        <v>135</v>
      </c>
      <c r="D37" s="2" t="s">
        <v>136</v>
      </c>
      <c r="E37" s="2" t="s">
        <v>38</v>
      </c>
      <c r="F37" s="2"/>
    </row>
    <row r="38" customFormat="false" ht="15" hidden="false" customHeight="false" outlineLevel="0" collapsed="false">
      <c r="A38" s="2" t="s">
        <v>137</v>
      </c>
      <c r="B38" s="2" t="s">
        <v>128</v>
      </c>
      <c r="C38" s="2" t="s">
        <v>138</v>
      </c>
      <c r="D38" s="2" t="s">
        <v>136</v>
      </c>
      <c r="E38" s="2" t="s">
        <v>38</v>
      </c>
      <c r="F38" s="2"/>
    </row>
    <row r="39" customFormat="false" ht="15" hidden="false" customHeight="false" outlineLevel="0" collapsed="false">
      <c r="A39" s="2" t="s">
        <v>139</v>
      </c>
      <c r="B39" s="2" t="s">
        <v>128</v>
      </c>
      <c r="C39" s="2" t="s">
        <v>140</v>
      </c>
      <c r="D39" s="2" t="s">
        <v>136</v>
      </c>
      <c r="E39" s="2" t="s">
        <v>38</v>
      </c>
      <c r="F39" s="2"/>
    </row>
    <row r="40" customFormat="false" ht="15" hidden="false" customHeight="false" outlineLevel="0" collapsed="false">
      <c r="A40" s="2" t="s">
        <v>141</v>
      </c>
      <c r="B40" s="2" t="s">
        <v>128</v>
      </c>
      <c r="C40" s="2" t="s">
        <v>142</v>
      </c>
      <c r="D40" s="2" t="s">
        <v>136</v>
      </c>
      <c r="E40" s="2" t="s">
        <v>26</v>
      </c>
      <c r="F40" s="2" t="s">
        <v>143</v>
      </c>
    </row>
    <row r="41" customFormat="false" ht="15" hidden="false" customHeight="false" outlineLevel="0" collapsed="false">
      <c r="A41" s="2" t="s">
        <v>144</v>
      </c>
      <c r="B41" s="2" t="s">
        <v>128</v>
      </c>
      <c r="C41" s="2" t="s">
        <v>145</v>
      </c>
      <c r="D41" s="2" t="s">
        <v>136</v>
      </c>
      <c r="E41" s="2" t="s">
        <v>34</v>
      </c>
      <c r="F41" s="2" t="s">
        <v>146</v>
      </c>
    </row>
    <row r="42" customFormat="false" ht="15" hidden="false" customHeight="false" outlineLevel="0" collapsed="false">
      <c r="A42" s="2" t="s">
        <v>147</v>
      </c>
      <c r="B42" s="2" t="s">
        <v>128</v>
      </c>
      <c r="C42" s="2" t="s">
        <v>148</v>
      </c>
      <c r="D42" s="2" t="s">
        <v>136</v>
      </c>
      <c r="E42" s="2" t="s">
        <v>38</v>
      </c>
      <c r="F42" s="2" t="s">
        <v>149</v>
      </c>
    </row>
    <row r="43" customFormat="false" ht="15" hidden="false" customHeight="false" outlineLevel="0" collapsed="false">
      <c r="A43" s="2" t="s">
        <v>150</v>
      </c>
      <c r="B43" s="2" t="s">
        <v>128</v>
      </c>
      <c r="C43" s="2" t="s">
        <v>151</v>
      </c>
      <c r="D43" s="2" t="s">
        <v>136</v>
      </c>
      <c r="E43" s="2" t="s">
        <v>38</v>
      </c>
      <c r="F43" s="2"/>
    </row>
    <row r="44" customFormat="false" ht="15" hidden="false" customHeight="false" outlineLevel="0" collapsed="false">
      <c r="A44" s="2" t="s">
        <v>152</v>
      </c>
      <c r="B44" s="2" t="s">
        <v>128</v>
      </c>
      <c r="C44" s="2" t="s">
        <v>153</v>
      </c>
      <c r="D44" s="2" t="s">
        <v>136</v>
      </c>
      <c r="E44" s="2" t="s">
        <v>38</v>
      </c>
      <c r="F44" s="2" t="s">
        <v>154</v>
      </c>
    </row>
    <row r="45" customFormat="false" ht="15" hidden="false" customHeight="false" outlineLevel="0" collapsed="false">
      <c r="A45" s="2" t="s">
        <v>155</v>
      </c>
      <c r="B45" s="2" t="s">
        <v>128</v>
      </c>
      <c r="C45" s="2" t="s">
        <v>156</v>
      </c>
      <c r="D45" s="2" t="s">
        <v>136</v>
      </c>
      <c r="E45" s="2" t="s">
        <v>157</v>
      </c>
      <c r="F45" s="2" t="s">
        <v>158</v>
      </c>
    </row>
    <row r="46" customFormat="false" ht="24" hidden="false" customHeight="false" outlineLevel="0" collapsed="false">
      <c r="A46" s="2" t="s">
        <v>159</v>
      </c>
      <c r="B46" s="2" t="s">
        <v>128</v>
      </c>
      <c r="C46" s="2" t="s">
        <v>160</v>
      </c>
      <c r="D46" s="2" t="s">
        <v>136</v>
      </c>
      <c r="E46" s="2" t="s">
        <v>38</v>
      </c>
      <c r="F46" s="2"/>
    </row>
    <row r="47" customFormat="false" ht="15" hidden="false" customHeight="false" outlineLevel="0" collapsed="false">
      <c r="A47" s="2" t="s">
        <v>161</v>
      </c>
      <c r="B47" s="2" t="s">
        <v>128</v>
      </c>
      <c r="C47" s="2" t="s">
        <v>162</v>
      </c>
      <c r="D47" s="2" t="s">
        <v>136</v>
      </c>
      <c r="E47" s="2" t="s">
        <v>163</v>
      </c>
      <c r="F47" s="2" t="s">
        <v>164</v>
      </c>
    </row>
    <row r="48" customFormat="false" ht="24" hidden="false" customHeight="false" outlineLevel="0" collapsed="false">
      <c r="A48" s="2" t="s">
        <v>165</v>
      </c>
      <c r="B48" s="2" t="s">
        <v>128</v>
      </c>
      <c r="C48" s="2" t="s">
        <v>166</v>
      </c>
      <c r="D48" s="2" t="s">
        <v>136</v>
      </c>
      <c r="E48" s="2" t="s">
        <v>38</v>
      </c>
      <c r="F48" s="2"/>
    </row>
    <row r="49" customFormat="false" ht="15" hidden="false" customHeight="false" outlineLevel="0" collapsed="false">
      <c r="A49" s="2" t="s">
        <v>167</v>
      </c>
      <c r="B49" s="2" t="s">
        <v>128</v>
      </c>
      <c r="C49" s="2" t="s">
        <v>168</v>
      </c>
      <c r="D49" s="2" t="s">
        <v>136</v>
      </c>
      <c r="E49" s="2" t="s">
        <v>38</v>
      </c>
      <c r="F49" s="2"/>
    </row>
    <row r="50" customFormat="false" ht="24" hidden="false" customHeight="false" outlineLevel="0" collapsed="false">
      <c r="A50" s="2" t="s">
        <v>169</v>
      </c>
      <c r="B50" s="2" t="s">
        <v>128</v>
      </c>
      <c r="C50" s="2" t="s">
        <v>170</v>
      </c>
      <c r="D50" s="2" t="s">
        <v>136</v>
      </c>
      <c r="E50" s="2" t="s">
        <v>163</v>
      </c>
      <c r="F50" s="2" t="s">
        <v>171</v>
      </c>
    </row>
    <row r="51" customFormat="false" ht="24" hidden="false" customHeight="false" outlineLevel="0" collapsed="false">
      <c r="A51" s="2" t="s">
        <v>172</v>
      </c>
      <c r="B51" s="2" t="s">
        <v>128</v>
      </c>
      <c r="C51" s="2" t="s">
        <v>173</v>
      </c>
      <c r="D51" s="2" t="s">
        <v>136</v>
      </c>
      <c r="E51" s="2" t="s">
        <v>38</v>
      </c>
      <c r="F51" s="2" t="s">
        <v>174</v>
      </c>
    </row>
    <row r="52" customFormat="false" ht="15" hidden="false" customHeight="false" outlineLevel="0" collapsed="false">
      <c r="A52" s="2" t="s">
        <v>175</v>
      </c>
      <c r="B52" s="2" t="s">
        <v>128</v>
      </c>
      <c r="C52" s="2" t="s">
        <v>176</v>
      </c>
      <c r="D52" s="2" t="s">
        <v>136</v>
      </c>
      <c r="E52" s="2" t="s">
        <v>38</v>
      </c>
      <c r="F52" s="2" t="s">
        <v>177</v>
      </c>
    </row>
    <row r="53" customFormat="false" ht="15" hidden="false" customHeight="false" outlineLevel="0" collapsed="false">
      <c r="A53" s="2" t="s">
        <v>178</v>
      </c>
      <c r="B53" s="2" t="s">
        <v>128</v>
      </c>
      <c r="C53" s="2" t="s">
        <v>179</v>
      </c>
      <c r="D53" s="2" t="s">
        <v>136</v>
      </c>
      <c r="E53" s="2" t="s">
        <v>34</v>
      </c>
      <c r="F53" s="2"/>
    </row>
    <row r="54" customFormat="false" ht="24" hidden="false" customHeight="false" outlineLevel="0" collapsed="false">
      <c r="A54" s="2" t="s">
        <v>180</v>
      </c>
      <c r="B54" s="2" t="s">
        <v>181</v>
      </c>
      <c r="C54" s="2" t="s">
        <v>182</v>
      </c>
      <c r="D54" s="2" t="s">
        <v>183</v>
      </c>
      <c r="E54" s="2" t="s">
        <v>38</v>
      </c>
      <c r="F54" s="2"/>
    </row>
    <row r="55" customFormat="false" ht="15" hidden="false" customHeight="false" outlineLevel="0" collapsed="false">
      <c r="A55" s="2" t="s">
        <v>184</v>
      </c>
      <c r="B55" s="2" t="s">
        <v>181</v>
      </c>
      <c r="C55" s="2" t="s">
        <v>185</v>
      </c>
      <c r="D55" s="2" t="s">
        <v>186</v>
      </c>
      <c r="E55" s="2" t="s">
        <v>38</v>
      </c>
      <c r="F55" s="2"/>
    </row>
    <row r="56" customFormat="false" ht="15" hidden="false" customHeight="false" outlineLevel="0" collapsed="false">
      <c r="A56" s="2" t="s">
        <v>187</v>
      </c>
      <c r="B56" s="2" t="s">
        <v>181</v>
      </c>
      <c r="C56" s="2" t="s">
        <v>188</v>
      </c>
      <c r="D56" s="2" t="s">
        <v>133</v>
      </c>
      <c r="E56" s="2" t="s">
        <v>38</v>
      </c>
      <c r="F56" s="2"/>
    </row>
    <row r="57" customFormat="false" ht="24" hidden="false" customHeight="false" outlineLevel="0" collapsed="false">
      <c r="A57" s="2" t="s">
        <v>189</v>
      </c>
      <c r="B57" s="2" t="s">
        <v>181</v>
      </c>
      <c r="C57" s="2" t="s">
        <v>190</v>
      </c>
      <c r="D57" s="2" t="s">
        <v>191</v>
      </c>
      <c r="E57" s="2" t="s">
        <v>38</v>
      </c>
      <c r="F57" s="2"/>
    </row>
    <row r="58" customFormat="false" ht="24" hidden="false" customHeight="false" outlineLevel="0" collapsed="false">
      <c r="A58" s="2" t="s">
        <v>192</v>
      </c>
      <c r="B58" s="2" t="s">
        <v>181</v>
      </c>
      <c r="C58" s="2" t="s">
        <v>193</v>
      </c>
      <c r="D58" s="2" t="s">
        <v>183</v>
      </c>
      <c r="E58" s="2" t="s">
        <v>38</v>
      </c>
      <c r="F58" s="2"/>
    </row>
    <row r="59" customFormat="false" ht="24" hidden="false" customHeight="false" outlineLevel="0" collapsed="false">
      <c r="A59" s="2" t="s">
        <v>194</v>
      </c>
      <c r="B59" s="2" t="s">
        <v>181</v>
      </c>
      <c r="C59" s="2" t="s">
        <v>195</v>
      </c>
      <c r="D59" s="2" t="s">
        <v>196</v>
      </c>
      <c r="E59" s="2" t="s">
        <v>38</v>
      </c>
      <c r="F59" s="2"/>
    </row>
    <row r="60" customFormat="false" ht="24" hidden="false" customHeight="false" outlineLevel="0" collapsed="false">
      <c r="A60" s="2" t="s">
        <v>197</v>
      </c>
      <c r="B60" s="2" t="s">
        <v>181</v>
      </c>
      <c r="C60" s="2" t="s">
        <v>198</v>
      </c>
      <c r="D60" s="2" t="s">
        <v>199</v>
      </c>
      <c r="E60" s="2" t="s">
        <v>34</v>
      </c>
      <c r="F60" s="2" t="s">
        <v>200</v>
      </c>
    </row>
  </sheetData>
  <autoFilter ref="A1:F60"/>
  <conditionalFormatting sqref="E2:E60">
    <cfRule type="expression" priority="2" aboveAverage="0" equalAverage="0" bottom="0" percent="0" rank="0" text="" dxfId="6">
      <formula>LEFT(E2,3)="Met"</formula>
    </cfRule>
    <cfRule type="expression" priority="3" aboveAverage="0" equalAverage="0" bottom="0" percent="0" rank="0" text="" dxfId="6">
      <formula>LEFT(E2,4)="Pass"</formula>
    </cfRule>
    <cfRule type="expression" priority="4" aboveAverage="0" equalAverage="0" bottom="0" percent="0" rank="0" text="" dxfId="6">
      <formula>LEFT(E2,6)="Active"</formula>
    </cfRule>
    <cfRule type="expression" priority="5" aboveAverage="0" equalAverage="0" bottom="0" percent="0" rank="0" text="" dxfId="6">
      <formula>LEFT(E2,4)="Kept"</formula>
    </cfRule>
    <cfRule type="expression" priority="6" aboveAverage="0" equalAverage="0" bottom="0" percent="0" rank="0" text="" dxfId="7">
      <formula>LEFT(E2,7)="Partial"</formula>
    </cfRule>
    <cfRule type="expression" priority="7" aboveAverage="0" equalAverage="0" bottom="0" percent="0" rank="0" text="" dxfId="7">
      <formula>LEFT(E2,4)="Open"</formula>
    </cfRule>
    <cfRule type="expression" priority="8" aboveAverage="0" equalAverage="0" bottom="0" percent="0" rank="0" text="" dxfId="7">
      <formula>LEFT(E2,8)="Marginal"</formula>
    </cfRule>
    <cfRule type="expression" priority="9" aboveAverage="0" equalAverage="0" bottom="0" percent="0" rank="0" text="" dxfId="7">
      <formula>LEFT(E2,7)="Revised"</formula>
    </cfRule>
    <cfRule type="expression" priority="10" aboveAverage="0" equalAverage="0" bottom="0" percent="0" rank="0" text="" dxfId="8">
      <formula>LEFT(E2,4)="Fail"</formula>
    </cfRule>
    <cfRule type="expression" priority="11" aboveAverage="0" equalAverage="0" bottom="0" percent="0" rank="0" text="" dxfId="8">
      <formula>LEFT(E2,8)="Not kept"</formula>
    </cfRule>
    <cfRule type="expression" priority="12" aboveAverage="0" equalAverage="0" bottom="0" percent="0" rank="0" text="" dxfId="9">
      <formula>LEFT(E2,10)="Superseded"</formula>
    </cfRule>
    <cfRule type="expression" priority="13" aboveAverage="0" equalAverage="0" bottom="0" percent="0" rank="0" text="" dxfId="9">
      <formula>LEFT(E2,9)="Not built"</formula>
    </cfRule>
    <cfRule type="expression" priority="14" aboveAverage="0" equalAverage="0" bottom="0" percent="0" rank="0" text="" dxfId="9">
      <formula>LEFT(E2,9)="Reference"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45"/>
    <col collapsed="false" customWidth="true" hidden="false" outlineLevel="0" max="9" min="9" style="0" width="18"/>
    <col collapsed="false" customWidth="true" hidden="false" outlineLevel="0" max="10" min="10" style="0" width="12"/>
  </cols>
  <sheetData>
    <row r="1" customFormat="false" ht="24" hidden="false" customHeight="false" outlineLevel="0" collapsed="false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20</v>
      </c>
    </row>
    <row r="2" customFormat="false" ht="15" hidden="false" customHeight="false" outlineLevel="0" collapsed="false">
      <c r="A2" s="2" t="s">
        <v>210</v>
      </c>
      <c r="B2" s="2" t="s">
        <v>211</v>
      </c>
      <c r="C2" s="2" t="s">
        <v>212</v>
      </c>
      <c r="D2" s="2" t="s">
        <v>213</v>
      </c>
      <c r="E2" s="2" t="s">
        <v>214</v>
      </c>
      <c r="F2" s="3" t="n">
        <v>0.98</v>
      </c>
      <c r="G2" s="2" t="s">
        <v>215</v>
      </c>
      <c r="H2" s="2" t="s">
        <v>216</v>
      </c>
      <c r="I2" s="2" t="s">
        <v>217</v>
      </c>
      <c r="J2" s="2" t="s">
        <v>218</v>
      </c>
    </row>
    <row r="3" customFormat="false" ht="24" hidden="false" customHeight="false" outlineLevel="0" collapsed="false">
      <c r="A3" s="2" t="s">
        <v>210</v>
      </c>
      <c r="B3" s="2" t="s">
        <v>219</v>
      </c>
      <c r="C3" s="2" t="s">
        <v>220</v>
      </c>
      <c r="D3" s="2" t="s">
        <v>221</v>
      </c>
      <c r="E3" s="2" t="s">
        <v>214</v>
      </c>
      <c r="F3" s="3" t="n">
        <v>0.75</v>
      </c>
      <c r="G3" s="2" t="s">
        <v>215</v>
      </c>
      <c r="H3" s="2" t="s">
        <v>222</v>
      </c>
      <c r="I3" s="2" t="s">
        <v>217</v>
      </c>
      <c r="J3" s="2" t="s">
        <v>163</v>
      </c>
    </row>
    <row r="4" customFormat="false" ht="24" hidden="false" customHeight="false" outlineLevel="0" collapsed="false">
      <c r="A4" s="2" t="s">
        <v>223</v>
      </c>
      <c r="B4" s="2" t="s">
        <v>219</v>
      </c>
      <c r="C4" s="2" t="s">
        <v>220</v>
      </c>
      <c r="D4" s="2" t="s">
        <v>224</v>
      </c>
      <c r="E4" s="2" t="s">
        <v>214</v>
      </c>
      <c r="F4" s="3" t="n">
        <v>0.6</v>
      </c>
      <c r="G4" s="2" t="s">
        <v>215</v>
      </c>
      <c r="H4" s="2" t="s">
        <v>225</v>
      </c>
      <c r="I4" s="2" t="s">
        <v>226</v>
      </c>
      <c r="J4" s="2" t="s">
        <v>218</v>
      </c>
    </row>
    <row r="5" customFormat="false" ht="24" hidden="false" customHeight="false" outlineLevel="0" collapsed="false">
      <c r="A5" s="2" t="s">
        <v>210</v>
      </c>
      <c r="B5" s="2" t="s">
        <v>227</v>
      </c>
      <c r="C5" s="2" t="s">
        <v>228</v>
      </c>
      <c r="D5" s="2" t="s">
        <v>229</v>
      </c>
      <c r="E5" s="2" t="s">
        <v>214</v>
      </c>
      <c r="F5" s="3" t="n">
        <v>0.6</v>
      </c>
      <c r="G5" s="2" t="s">
        <v>215</v>
      </c>
      <c r="H5" s="2" t="s">
        <v>230</v>
      </c>
      <c r="I5" s="2" t="s">
        <v>217</v>
      </c>
      <c r="J5" s="2" t="s">
        <v>218</v>
      </c>
    </row>
    <row r="6" customFormat="false" ht="24" hidden="false" customHeight="false" outlineLevel="0" collapsed="false">
      <c r="A6" s="2" t="s">
        <v>210</v>
      </c>
      <c r="B6" s="2" t="s">
        <v>231</v>
      </c>
      <c r="C6" s="2" t="s">
        <v>232</v>
      </c>
      <c r="D6" s="2" t="s">
        <v>233</v>
      </c>
      <c r="E6" s="2" t="s">
        <v>234</v>
      </c>
      <c r="F6" s="4" t="n">
        <v>1</v>
      </c>
      <c r="G6" s="2" t="s">
        <v>235</v>
      </c>
      <c r="H6" s="2" t="s">
        <v>236</v>
      </c>
      <c r="I6" s="2" t="s">
        <v>217</v>
      </c>
      <c r="J6" s="2" t="s">
        <v>163</v>
      </c>
    </row>
    <row r="7" customFormat="false" ht="24" hidden="false" customHeight="false" outlineLevel="0" collapsed="false">
      <c r="A7" s="2" t="s">
        <v>223</v>
      </c>
      <c r="B7" s="2" t="s">
        <v>231</v>
      </c>
      <c r="C7" s="2" t="s">
        <v>237</v>
      </c>
      <c r="D7" s="2" t="s">
        <v>238</v>
      </c>
      <c r="E7" s="2" t="s">
        <v>234</v>
      </c>
      <c r="F7" s="4" t="n">
        <v>1</v>
      </c>
      <c r="G7" s="2" t="s">
        <v>235</v>
      </c>
      <c r="H7" s="2" t="s">
        <v>239</v>
      </c>
      <c r="I7" s="2" t="s">
        <v>240</v>
      </c>
      <c r="J7" s="2" t="s">
        <v>218</v>
      </c>
    </row>
    <row r="8" customFormat="false" ht="15" hidden="false" customHeight="false" outlineLevel="0" collapsed="false">
      <c r="A8" s="2" t="s">
        <v>210</v>
      </c>
      <c r="B8" s="2" t="s">
        <v>241</v>
      </c>
      <c r="C8" s="2" t="s">
        <v>242</v>
      </c>
      <c r="D8" s="2" t="s">
        <v>243</v>
      </c>
      <c r="E8" s="2" t="s">
        <v>234</v>
      </c>
      <c r="F8" s="3" t="n">
        <v>0.1</v>
      </c>
      <c r="G8" s="2" t="s">
        <v>215</v>
      </c>
      <c r="H8" s="2" t="s">
        <v>244</v>
      </c>
      <c r="I8" s="2" t="s">
        <v>217</v>
      </c>
      <c r="J8" s="2" t="s">
        <v>218</v>
      </c>
    </row>
    <row r="9" customFormat="false" ht="15" hidden="false" customHeight="false" outlineLevel="0" collapsed="false">
      <c r="A9" s="2" t="s">
        <v>210</v>
      </c>
      <c r="B9" s="2" t="s">
        <v>245</v>
      </c>
      <c r="C9" s="2" t="s">
        <v>246</v>
      </c>
      <c r="D9" s="2" t="s">
        <v>247</v>
      </c>
      <c r="E9" s="2" t="s">
        <v>234</v>
      </c>
      <c r="F9" s="4" t="n">
        <v>1</v>
      </c>
      <c r="G9" s="2" t="s">
        <v>235</v>
      </c>
      <c r="H9" s="2" t="s">
        <v>248</v>
      </c>
      <c r="I9" s="2" t="s">
        <v>217</v>
      </c>
      <c r="J9" s="2" t="s">
        <v>218</v>
      </c>
    </row>
    <row r="10" customFormat="false" ht="24" hidden="false" customHeight="false" outlineLevel="0" collapsed="false">
      <c r="A10" s="2" t="s">
        <v>223</v>
      </c>
      <c r="B10" s="2" t="s">
        <v>249</v>
      </c>
      <c r="C10" s="2" t="s">
        <v>250</v>
      </c>
      <c r="D10" s="2" t="s">
        <v>251</v>
      </c>
      <c r="E10" s="2" t="s">
        <v>234</v>
      </c>
      <c r="F10" s="4" t="n">
        <v>0</v>
      </c>
      <c r="G10" s="2" t="s">
        <v>235</v>
      </c>
      <c r="H10" s="2" t="s">
        <v>252</v>
      </c>
      <c r="I10" s="2" t="s">
        <v>240</v>
      </c>
      <c r="J10" s="2" t="s">
        <v>218</v>
      </c>
    </row>
    <row r="11" customFormat="false" ht="24" hidden="false" customHeight="false" outlineLevel="0" collapsed="false">
      <c r="A11" s="2" t="s">
        <v>210</v>
      </c>
      <c r="B11" s="2" t="s">
        <v>253</v>
      </c>
      <c r="C11" s="2" t="s">
        <v>254</v>
      </c>
      <c r="D11" s="2" t="s">
        <v>255</v>
      </c>
      <c r="E11" s="2" t="s">
        <v>214</v>
      </c>
      <c r="F11" s="4" t="n">
        <v>15</v>
      </c>
      <c r="G11" s="2" t="s">
        <v>256</v>
      </c>
      <c r="H11" s="2" t="s">
        <v>257</v>
      </c>
      <c r="I11" s="2" t="s">
        <v>217</v>
      </c>
      <c r="J11" s="2" t="s">
        <v>218</v>
      </c>
    </row>
    <row r="12" customFormat="false" ht="24" hidden="false" customHeight="false" outlineLevel="0" collapsed="false">
      <c r="A12" s="2" t="s">
        <v>210</v>
      </c>
      <c r="B12" s="2" t="s">
        <v>258</v>
      </c>
      <c r="C12" s="2" t="s">
        <v>259</v>
      </c>
      <c r="D12" s="2" t="s">
        <v>260</v>
      </c>
      <c r="E12" s="2"/>
      <c r="F12" s="5"/>
      <c r="G12" s="2"/>
      <c r="H12" s="2"/>
      <c r="I12" s="2" t="s">
        <v>217</v>
      </c>
      <c r="J12" s="2" t="s">
        <v>218</v>
      </c>
    </row>
    <row r="13" customFormat="false" ht="24" hidden="false" customHeight="false" outlineLevel="0" collapsed="false">
      <c r="A13" s="2" t="s">
        <v>261</v>
      </c>
      <c r="B13" s="2" t="s">
        <v>262</v>
      </c>
      <c r="C13" s="2" t="s">
        <v>263</v>
      </c>
      <c r="D13" s="2" t="s">
        <v>264</v>
      </c>
      <c r="E13" s="2"/>
      <c r="F13" s="5"/>
      <c r="G13" s="2"/>
      <c r="H13" s="2" t="s">
        <v>265</v>
      </c>
      <c r="I13" s="2" t="s">
        <v>266</v>
      </c>
      <c r="J13" s="2" t="s">
        <v>218</v>
      </c>
    </row>
    <row r="14" customFormat="false" ht="15" hidden="false" customHeight="false" outlineLevel="0" collapsed="false">
      <c r="A14" s="2" t="s">
        <v>261</v>
      </c>
      <c r="B14" s="2" t="s">
        <v>267</v>
      </c>
      <c r="C14" s="2" t="s">
        <v>268</v>
      </c>
      <c r="D14" s="2" t="s">
        <v>269</v>
      </c>
      <c r="E14" s="2" t="s">
        <v>214</v>
      </c>
      <c r="F14" s="3" t="n">
        <v>0.6</v>
      </c>
      <c r="G14" s="2" t="s">
        <v>215</v>
      </c>
      <c r="H14" s="2" t="s">
        <v>270</v>
      </c>
      <c r="I14" s="2" t="s">
        <v>266</v>
      </c>
      <c r="J14" s="2" t="s">
        <v>218</v>
      </c>
    </row>
    <row r="15" customFormat="false" ht="15" hidden="false" customHeight="false" outlineLevel="0" collapsed="false">
      <c r="A15" s="2" t="s">
        <v>261</v>
      </c>
      <c r="B15" s="2" t="s">
        <v>271</v>
      </c>
      <c r="C15" s="2" t="s">
        <v>272</v>
      </c>
      <c r="D15" s="2" t="s">
        <v>269</v>
      </c>
      <c r="E15" s="2" t="s">
        <v>214</v>
      </c>
      <c r="F15" s="3" t="n">
        <v>0.6</v>
      </c>
      <c r="G15" s="2" t="s">
        <v>215</v>
      </c>
      <c r="H15" s="2" t="s">
        <v>273</v>
      </c>
      <c r="I15" s="2" t="s">
        <v>266</v>
      </c>
      <c r="J15" s="2" t="s">
        <v>218</v>
      </c>
    </row>
    <row r="16" customFormat="false" ht="15" hidden="false" customHeight="false" outlineLevel="0" collapsed="false">
      <c r="A16" s="2" t="s">
        <v>261</v>
      </c>
      <c r="B16" s="2" t="s">
        <v>274</v>
      </c>
      <c r="C16" s="2" t="s">
        <v>275</v>
      </c>
      <c r="D16" s="2" t="s">
        <v>276</v>
      </c>
      <c r="E16" s="2" t="s">
        <v>234</v>
      </c>
      <c r="F16" s="6" t="n">
        <v>3</v>
      </c>
      <c r="G16" s="2" t="s">
        <v>277</v>
      </c>
      <c r="H16" s="2" t="s">
        <v>278</v>
      </c>
      <c r="I16" s="2" t="s">
        <v>266</v>
      </c>
      <c r="J16" s="2" t="s">
        <v>218</v>
      </c>
    </row>
    <row r="17" customFormat="false" ht="24" hidden="false" customHeight="false" outlineLevel="0" collapsed="false">
      <c r="A17" s="2" t="s">
        <v>279</v>
      </c>
      <c r="B17" s="2" t="s">
        <v>280</v>
      </c>
      <c r="C17" s="2" t="s">
        <v>281</v>
      </c>
      <c r="D17" s="2" t="s">
        <v>282</v>
      </c>
      <c r="E17" s="2"/>
      <c r="F17" s="5"/>
      <c r="G17" s="2"/>
      <c r="H17" s="2" t="s">
        <v>283</v>
      </c>
      <c r="I17" s="2" t="s">
        <v>266</v>
      </c>
      <c r="J17" s="2" t="s">
        <v>218</v>
      </c>
    </row>
    <row r="18" customFormat="false" ht="15" hidden="false" customHeight="false" outlineLevel="0" collapsed="false">
      <c r="A18" s="2" t="s">
        <v>279</v>
      </c>
      <c r="B18" s="2" t="s">
        <v>284</v>
      </c>
      <c r="C18" s="2" t="s">
        <v>285</v>
      </c>
      <c r="D18" s="2" t="s">
        <v>286</v>
      </c>
      <c r="E18" s="2" t="s">
        <v>234</v>
      </c>
      <c r="F18" s="4" t="n">
        <v>3</v>
      </c>
      <c r="G18" s="2" t="s">
        <v>256</v>
      </c>
      <c r="H18" s="2" t="s">
        <v>287</v>
      </c>
      <c r="I18" s="2" t="s">
        <v>266</v>
      </c>
      <c r="J18" s="2" t="s">
        <v>218</v>
      </c>
    </row>
    <row r="19" customFormat="false" ht="24" hidden="false" customHeight="false" outlineLevel="0" collapsed="false">
      <c r="A19" s="2" t="s">
        <v>279</v>
      </c>
      <c r="B19" s="2" t="s">
        <v>288</v>
      </c>
      <c r="C19" s="2" t="s">
        <v>289</v>
      </c>
      <c r="D19" s="2" t="s">
        <v>290</v>
      </c>
      <c r="E19" s="2"/>
      <c r="F19" s="5"/>
      <c r="G19" s="2"/>
      <c r="H19" s="2" t="s">
        <v>291</v>
      </c>
      <c r="I19" s="2" t="s">
        <v>266</v>
      </c>
      <c r="J19" s="2" t="s">
        <v>218</v>
      </c>
    </row>
    <row r="20" customFormat="false" ht="35" hidden="false" customHeight="false" outlineLevel="0" collapsed="false">
      <c r="A20" s="2" t="s">
        <v>279</v>
      </c>
      <c r="B20" s="2" t="s">
        <v>292</v>
      </c>
      <c r="C20" s="2" t="s">
        <v>293</v>
      </c>
      <c r="D20" s="2" t="s">
        <v>294</v>
      </c>
      <c r="E20" s="2" t="s">
        <v>214</v>
      </c>
      <c r="F20" s="3" t="n">
        <v>0.6</v>
      </c>
      <c r="G20" s="2" t="s">
        <v>215</v>
      </c>
      <c r="H20" s="2" t="s">
        <v>295</v>
      </c>
      <c r="I20" s="2" t="s">
        <v>266</v>
      </c>
      <c r="J20" s="2" t="s">
        <v>218</v>
      </c>
    </row>
    <row r="21" customFormat="false" ht="24" hidden="false" customHeight="false" outlineLevel="0" collapsed="false">
      <c r="A21" s="2" t="s">
        <v>279</v>
      </c>
      <c r="B21" s="2" t="s">
        <v>296</v>
      </c>
      <c r="C21" s="2" t="s">
        <v>297</v>
      </c>
      <c r="D21" s="2" t="s">
        <v>298</v>
      </c>
      <c r="E21" s="2" t="s">
        <v>214</v>
      </c>
      <c r="F21" s="3" t="n">
        <v>0.6</v>
      </c>
      <c r="G21" s="2" t="s">
        <v>215</v>
      </c>
      <c r="H21" s="2" t="s">
        <v>295</v>
      </c>
      <c r="I21" s="2" t="s">
        <v>266</v>
      </c>
      <c r="J21" s="2" t="s">
        <v>218</v>
      </c>
    </row>
    <row r="22" customFormat="false" ht="24" hidden="false" customHeight="false" outlineLevel="0" collapsed="false">
      <c r="A22" s="2" t="s">
        <v>279</v>
      </c>
      <c r="B22" s="2" t="s">
        <v>299</v>
      </c>
      <c r="C22" s="2" t="s">
        <v>300</v>
      </c>
      <c r="D22" s="2" t="s">
        <v>301</v>
      </c>
      <c r="E22" s="2" t="s">
        <v>234</v>
      </c>
      <c r="F22" s="4" t="n">
        <v>1</v>
      </c>
      <c r="G22" s="2" t="s">
        <v>235</v>
      </c>
      <c r="H22" s="2" t="s">
        <v>302</v>
      </c>
      <c r="I22" s="2" t="s">
        <v>266</v>
      </c>
      <c r="J22" s="2" t="s">
        <v>218</v>
      </c>
    </row>
    <row r="23" customFormat="false" ht="15" hidden="false" customHeight="false" outlineLevel="0" collapsed="false">
      <c r="A23" s="2" t="s">
        <v>279</v>
      </c>
      <c r="B23" s="2" t="s">
        <v>303</v>
      </c>
      <c r="C23" s="2" t="s">
        <v>232</v>
      </c>
      <c r="D23" s="2" t="s">
        <v>304</v>
      </c>
      <c r="E23" s="2" t="s">
        <v>234</v>
      </c>
      <c r="F23" s="4" t="n">
        <v>1</v>
      </c>
      <c r="G23" s="2" t="s">
        <v>235</v>
      </c>
      <c r="H23" s="2" t="s">
        <v>305</v>
      </c>
      <c r="I23" s="2" t="s">
        <v>266</v>
      </c>
      <c r="J23" s="2" t="s">
        <v>218</v>
      </c>
    </row>
    <row r="24" customFormat="false" ht="15" hidden="false" customHeight="false" outlineLevel="0" collapsed="false">
      <c r="A24" s="2" t="s">
        <v>279</v>
      </c>
      <c r="B24" s="2" t="s">
        <v>306</v>
      </c>
      <c r="C24" s="2" t="s">
        <v>307</v>
      </c>
      <c r="D24" s="2" t="s">
        <v>308</v>
      </c>
      <c r="E24" s="2"/>
      <c r="F24" s="5"/>
      <c r="G24" s="2" t="s">
        <v>309</v>
      </c>
      <c r="H24" s="2" t="s">
        <v>310</v>
      </c>
      <c r="I24" s="2" t="s">
        <v>266</v>
      </c>
      <c r="J24" s="2" t="s">
        <v>218</v>
      </c>
    </row>
    <row r="25" customFormat="false" ht="24" hidden="false" customHeight="false" outlineLevel="0" collapsed="false">
      <c r="A25" s="2" t="s">
        <v>279</v>
      </c>
      <c r="B25" s="2" t="s">
        <v>311</v>
      </c>
      <c r="C25" s="2" t="s">
        <v>312</v>
      </c>
      <c r="D25" s="2" t="s">
        <v>313</v>
      </c>
      <c r="E25" s="2"/>
      <c r="F25" s="5"/>
      <c r="G25" s="2"/>
      <c r="H25" s="2" t="s">
        <v>314</v>
      </c>
      <c r="I25" s="2" t="s">
        <v>266</v>
      </c>
      <c r="J25" s="2" t="s">
        <v>218</v>
      </c>
    </row>
  </sheetData>
  <autoFilter ref="A1:J25"/>
  <conditionalFormatting sqref="J2:J25">
    <cfRule type="expression" priority="2" aboveAverage="0" equalAverage="0" bottom="0" percent="0" rank="0" text="" dxfId="6">
      <formula>LEFT(J2,3)="Met"</formula>
    </cfRule>
    <cfRule type="expression" priority="3" aboveAverage="0" equalAverage="0" bottom="0" percent="0" rank="0" text="" dxfId="6">
      <formula>LEFT(J2,4)="Pass"</formula>
    </cfRule>
    <cfRule type="expression" priority="4" aboveAverage="0" equalAverage="0" bottom="0" percent="0" rank="0" text="" dxfId="6">
      <formula>LEFT(J2,6)="Active"</formula>
    </cfRule>
    <cfRule type="expression" priority="5" aboveAverage="0" equalAverage="0" bottom="0" percent="0" rank="0" text="" dxfId="6">
      <formula>LEFT(J2,4)="Kept"</formula>
    </cfRule>
    <cfRule type="expression" priority="6" aboveAverage="0" equalAverage="0" bottom="0" percent="0" rank="0" text="" dxfId="7">
      <formula>LEFT(J2,7)="Partial"</formula>
    </cfRule>
    <cfRule type="expression" priority="7" aboveAverage="0" equalAverage="0" bottom="0" percent="0" rank="0" text="" dxfId="7">
      <formula>LEFT(J2,4)="Open"</formula>
    </cfRule>
    <cfRule type="expression" priority="8" aboveAverage="0" equalAverage="0" bottom="0" percent="0" rank="0" text="" dxfId="7">
      <formula>LEFT(J2,8)="Marginal"</formula>
    </cfRule>
    <cfRule type="expression" priority="9" aboveAverage="0" equalAverage="0" bottom="0" percent="0" rank="0" text="" dxfId="7">
      <formula>LEFT(J2,7)="Revised"</formula>
    </cfRule>
    <cfRule type="expression" priority="10" aboveAverage="0" equalAverage="0" bottom="0" percent="0" rank="0" text="" dxfId="8">
      <formula>LEFT(J2,4)="Fail"</formula>
    </cfRule>
    <cfRule type="expression" priority="11" aboveAverage="0" equalAverage="0" bottom="0" percent="0" rank="0" text="" dxfId="8">
      <formula>LEFT(J2,8)="Not kept"</formula>
    </cfRule>
    <cfRule type="expression" priority="12" aboveAverage="0" equalAverage="0" bottom="0" percent="0" rank="0" text="" dxfId="9">
      <formula>LEFT(J2,10)="Superseded"</formula>
    </cfRule>
    <cfRule type="expression" priority="13" aboveAverage="0" equalAverage="0" bottom="0" percent="0" rank="0" text="" dxfId="9">
      <formula>LEFT(J2,9)="Not built"</formula>
    </cfRule>
    <cfRule type="expression" priority="14" aboveAverage="0" equalAverage="0" bottom="0" percent="0" rank="0" text="" dxfId="9">
      <formula>LEFT(J2,9)="Reference"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201</v>
      </c>
      <c r="B1" s="1" t="s">
        <v>315</v>
      </c>
      <c r="C1" s="1" t="s">
        <v>316</v>
      </c>
    </row>
    <row r="2" customFormat="false" ht="24" hidden="false" customHeight="false" outlineLevel="0" collapsed="false">
      <c r="A2" s="2" t="s">
        <v>210</v>
      </c>
      <c r="B2" s="2" t="n">
        <v>1</v>
      </c>
      <c r="C2" s="2" t="s">
        <v>317</v>
      </c>
    </row>
    <row r="3" customFormat="false" ht="24" hidden="false" customHeight="false" outlineLevel="0" collapsed="false">
      <c r="A3" s="2" t="s">
        <v>210</v>
      </c>
      <c r="B3" s="2" t="n">
        <v>2</v>
      </c>
      <c r="C3" s="2" t="s">
        <v>318</v>
      </c>
    </row>
    <row r="4" customFormat="false" ht="15" hidden="false" customHeight="false" outlineLevel="0" collapsed="false">
      <c r="A4" s="2" t="s">
        <v>210</v>
      </c>
      <c r="B4" s="2" t="n">
        <v>3</v>
      </c>
      <c r="C4" s="2" t="s">
        <v>319</v>
      </c>
    </row>
    <row r="5" customFormat="false" ht="15" hidden="false" customHeight="false" outlineLevel="0" collapsed="false">
      <c r="A5" s="2" t="s">
        <v>210</v>
      </c>
      <c r="B5" s="2" t="n">
        <v>4</v>
      </c>
      <c r="C5" s="2" t="s">
        <v>320</v>
      </c>
    </row>
    <row r="6" customFormat="false" ht="15" hidden="false" customHeight="false" outlineLevel="0" collapsed="false">
      <c r="A6" s="2" t="s">
        <v>321</v>
      </c>
      <c r="B6" s="2" t="n">
        <v>1</v>
      </c>
      <c r="C6" s="2" t="s">
        <v>322</v>
      </c>
    </row>
    <row r="7" customFormat="false" ht="15" hidden="false" customHeight="false" outlineLevel="0" collapsed="false">
      <c r="A7" s="2" t="s">
        <v>321</v>
      </c>
      <c r="B7" s="2" t="n">
        <v>2</v>
      </c>
      <c r="C7" s="2" t="s">
        <v>323</v>
      </c>
    </row>
    <row r="8" customFormat="false" ht="15" hidden="false" customHeight="false" outlineLevel="0" collapsed="false">
      <c r="A8" s="2" t="s">
        <v>324</v>
      </c>
      <c r="B8" s="2" t="n">
        <v>1</v>
      </c>
      <c r="C8" s="2" t="s">
        <v>325</v>
      </c>
    </row>
    <row r="9" customFormat="false" ht="15" hidden="false" customHeight="false" outlineLevel="0" collapsed="false">
      <c r="A9" s="2" t="s">
        <v>261</v>
      </c>
      <c r="B9" s="2" t="n">
        <v>1</v>
      </c>
      <c r="C9" s="2" t="s">
        <v>326</v>
      </c>
    </row>
    <row r="10" customFormat="false" ht="15" hidden="false" customHeight="false" outlineLevel="0" collapsed="false">
      <c r="A10" s="2" t="s">
        <v>261</v>
      </c>
      <c r="B10" s="2" t="n">
        <v>2</v>
      </c>
      <c r="C10" s="2" t="s">
        <v>327</v>
      </c>
    </row>
    <row r="11" customFormat="false" ht="15" hidden="false" customHeight="false" outlineLevel="0" collapsed="false">
      <c r="A11" s="2" t="s">
        <v>261</v>
      </c>
      <c r="B11" s="2" t="n">
        <v>3</v>
      </c>
      <c r="C11" s="2" t="s">
        <v>328</v>
      </c>
    </row>
    <row r="12" customFormat="false" ht="15" hidden="false" customHeight="false" outlineLevel="0" collapsed="false">
      <c r="A12" s="2" t="s">
        <v>261</v>
      </c>
      <c r="B12" s="2" t="n">
        <v>4</v>
      </c>
      <c r="C12" s="2" t="s">
        <v>329</v>
      </c>
    </row>
    <row r="13" customFormat="false" ht="15" hidden="false" customHeight="false" outlineLevel="0" collapsed="false">
      <c r="A13" s="2" t="s">
        <v>279</v>
      </c>
      <c r="B13" s="2" t="n">
        <v>1</v>
      </c>
      <c r="C13" s="2" t="s">
        <v>330</v>
      </c>
    </row>
    <row r="14" customFormat="false" ht="15" hidden="false" customHeight="false" outlineLevel="0" collapsed="false">
      <c r="A14" s="2" t="s">
        <v>279</v>
      </c>
      <c r="B14" s="2" t="n">
        <v>2</v>
      </c>
      <c r="C14" s="2" t="s">
        <v>331</v>
      </c>
    </row>
    <row r="15" customFormat="false" ht="15" hidden="false" customHeight="false" outlineLevel="0" collapsed="false">
      <c r="A15" s="2" t="s">
        <v>279</v>
      </c>
      <c r="B15" s="2" t="n">
        <v>3</v>
      </c>
      <c r="C15" s="2" t="s">
        <v>332</v>
      </c>
    </row>
    <row r="16" customFormat="false" ht="15" hidden="false" customHeight="false" outlineLevel="0" collapsed="false">
      <c r="A16" s="2" t="s">
        <v>279</v>
      </c>
      <c r="B16" s="2" t="n">
        <v>4</v>
      </c>
      <c r="C16" s="2" t="s">
        <v>333</v>
      </c>
    </row>
    <row r="17" customFormat="false" ht="15" hidden="false" customHeight="false" outlineLevel="0" collapsed="false">
      <c r="A17" s="2" t="s">
        <v>279</v>
      </c>
      <c r="B17" s="2" t="n">
        <v>5</v>
      </c>
      <c r="C17" s="2" t="s">
        <v>334</v>
      </c>
    </row>
    <row r="18" customFormat="false" ht="15" hidden="false" customHeight="false" outlineLevel="0" collapsed="false">
      <c r="A18" s="2" t="s">
        <v>335</v>
      </c>
      <c r="B18" s="2" t="n">
        <v>1</v>
      </c>
      <c r="C18" s="2" t="s">
        <v>336</v>
      </c>
    </row>
  </sheetData>
  <autoFilter ref="A1:C1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50"/>
  </cols>
  <sheetData>
    <row r="1" customFormat="false" ht="24" hidden="false" customHeight="false" outlineLevel="0" collapsed="false">
      <c r="A1" s="1" t="s">
        <v>201</v>
      </c>
      <c r="B1" s="1" t="s">
        <v>337</v>
      </c>
      <c r="C1" s="1" t="s">
        <v>338</v>
      </c>
      <c r="D1" s="1" t="s">
        <v>339</v>
      </c>
      <c r="E1" s="1" t="s">
        <v>340</v>
      </c>
      <c r="F1" s="1" t="s">
        <v>202</v>
      </c>
      <c r="G1" s="1" t="s">
        <v>341</v>
      </c>
      <c r="H1" s="1" t="s">
        <v>205</v>
      </c>
      <c r="I1" s="1" t="s">
        <v>206</v>
      </c>
      <c r="J1" s="1" t="s">
        <v>207</v>
      </c>
      <c r="K1" s="1" t="s">
        <v>342</v>
      </c>
      <c r="L1" s="1" t="s">
        <v>343</v>
      </c>
      <c r="M1" s="1" t="s">
        <v>344</v>
      </c>
    </row>
    <row r="2" customFormat="false" ht="24" hidden="false" customHeight="false" outlineLevel="0" collapsed="false">
      <c r="A2" s="2" t="s">
        <v>210</v>
      </c>
      <c r="B2" s="2" t="s">
        <v>217</v>
      </c>
      <c r="C2" s="2" t="s">
        <v>345</v>
      </c>
      <c r="D2" s="2" t="s">
        <v>346</v>
      </c>
      <c r="E2" s="2" t="s">
        <v>347</v>
      </c>
      <c r="F2" s="2" t="s">
        <v>211</v>
      </c>
      <c r="G2" s="7" t="n">
        <v>1</v>
      </c>
      <c r="H2" s="2" t="s">
        <v>214</v>
      </c>
      <c r="I2" s="7" t="n">
        <v>0.98</v>
      </c>
      <c r="J2" s="2" t="s">
        <v>215</v>
      </c>
      <c r="K2" s="2" t="str">
        <f aca="false">IF(OR(G2="",H2="",I2=""),"",IF(H2="&gt;=",IF(G2&gt;=I2,"Pass","Fail"),IF(G2&lt;=I2,"Pass","Fail")))</f>
        <v>Pass</v>
      </c>
      <c r="L2" s="2" t="s">
        <v>348</v>
      </c>
      <c r="M2" s="2"/>
    </row>
    <row r="3" customFormat="false" ht="24" hidden="false" customHeight="false" outlineLevel="0" collapsed="false">
      <c r="A3" s="2" t="s">
        <v>210</v>
      </c>
      <c r="B3" s="2" t="s">
        <v>217</v>
      </c>
      <c r="C3" s="2" t="s">
        <v>345</v>
      </c>
      <c r="D3" s="2" t="s">
        <v>346</v>
      </c>
      <c r="E3" s="2" t="s">
        <v>347</v>
      </c>
      <c r="F3" s="2" t="s">
        <v>219</v>
      </c>
      <c r="G3" s="7" t="n">
        <v>0.63</v>
      </c>
      <c r="H3" s="2" t="s">
        <v>214</v>
      </c>
      <c r="I3" s="7" t="n">
        <v>0.75</v>
      </c>
      <c r="J3" s="2" t="s">
        <v>215</v>
      </c>
      <c r="K3" s="2" t="str">
        <f aca="false">IF(OR(G3="",H3="",I3=""),"",IF(H3="&gt;=",IF(G3&gt;=I3,"Pass","Fail"),IF(G3&lt;=I3,"Pass","Fail")))</f>
        <v>Fail</v>
      </c>
      <c r="L3" s="2" t="s">
        <v>348</v>
      </c>
      <c r="M3" s="2" t="s">
        <v>349</v>
      </c>
    </row>
    <row r="4" customFormat="false" ht="24" hidden="false" customHeight="false" outlineLevel="0" collapsed="false">
      <c r="A4" s="2" t="s">
        <v>210</v>
      </c>
      <c r="B4" s="2" t="s">
        <v>217</v>
      </c>
      <c r="C4" s="2" t="s">
        <v>345</v>
      </c>
      <c r="D4" s="2" t="s">
        <v>346</v>
      </c>
      <c r="E4" s="2" t="s">
        <v>347</v>
      </c>
      <c r="F4" s="2" t="s">
        <v>227</v>
      </c>
      <c r="G4" s="7" t="n">
        <v>0.755</v>
      </c>
      <c r="H4" s="2" t="s">
        <v>214</v>
      </c>
      <c r="I4" s="7" t="n">
        <v>0.6</v>
      </c>
      <c r="J4" s="2" t="s">
        <v>215</v>
      </c>
      <c r="K4" s="2" t="str">
        <f aca="false">IF(OR(G4="",H4="",I4=""),"",IF(H4="&gt;=",IF(G4&gt;=I4,"Pass","Fail"),IF(G4&lt;=I4,"Pass","Fail")))</f>
        <v>Pass</v>
      </c>
      <c r="L4" s="2" t="s">
        <v>348</v>
      </c>
      <c r="M4" s="2" t="s">
        <v>350</v>
      </c>
    </row>
    <row r="5" customFormat="false" ht="24" hidden="false" customHeight="false" outlineLevel="0" collapsed="false">
      <c r="A5" s="2" t="s">
        <v>210</v>
      </c>
      <c r="B5" s="2" t="s">
        <v>217</v>
      </c>
      <c r="C5" s="2" t="s">
        <v>345</v>
      </c>
      <c r="D5" s="2" t="s">
        <v>346</v>
      </c>
      <c r="E5" s="2" t="s">
        <v>347</v>
      </c>
      <c r="F5" s="2" t="s">
        <v>231</v>
      </c>
      <c r="G5" s="4" t="n">
        <v>4</v>
      </c>
      <c r="H5" s="2" t="s">
        <v>234</v>
      </c>
      <c r="I5" s="4" t="n">
        <v>1</v>
      </c>
      <c r="J5" s="2" t="s">
        <v>235</v>
      </c>
      <c r="K5" s="2" t="str">
        <f aca="false">IF(OR(G5="",H5="",I5=""),"",IF(H5="&gt;=",IF(G5&gt;=I5,"Pass","Fail"),IF(G5&lt;=I5,"Pass","Fail")))</f>
        <v>Fail</v>
      </c>
      <c r="L5" s="2" t="s">
        <v>348</v>
      </c>
      <c r="M5" s="2"/>
    </row>
    <row r="6" customFormat="false" ht="24" hidden="false" customHeight="false" outlineLevel="0" collapsed="false">
      <c r="A6" s="2" t="s">
        <v>210</v>
      </c>
      <c r="B6" s="2" t="s">
        <v>217</v>
      </c>
      <c r="C6" s="2" t="s">
        <v>345</v>
      </c>
      <c r="D6" s="2" t="s">
        <v>346</v>
      </c>
      <c r="E6" s="2" t="s">
        <v>347</v>
      </c>
      <c r="F6" s="2" t="s">
        <v>241</v>
      </c>
      <c r="G6" s="7" t="n">
        <v>0</v>
      </c>
      <c r="H6" s="2" t="s">
        <v>234</v>
      </c>
      <c r="I6" s="7" t="n">
        <v>0.1</v>
      </c>
      <c r="J6" s="2" t="s">
        <v>215</v>
      </c>
      <c r="K6" s="2" t="str">
        <f aca="false">IF(OR(G6="",H6="",I6=""),"",IF(H6="&gt;=",IF(G6&gt;=I6,"Pass","Fail"),IF(G6&lt;=I6,"Pass","Fail")))</f>
        <v>Pass</v>
      </c>
      <c r="L6" s="2" t="s">
        <v>348</v>
      </c>
      <c r="M6" s="2"/>
    </row>
    <row r="7" customFormat="false" ht="15" hidden="false" customHeight="false" outlineLevel="0" collapsed="false">
      <c r="A7" s="2" t="s">
        <v>210</v>
      </c>
      <c r="B7" s="2" t="s">
        <v>217</v>
      </c>
      <c r="C7" s="2" t="s">
        <v>345</v>
      </c>
      <c r="D7" s="2" t="s">
        <v>346</v>
      </c>
      <c r="E7" s="2" t="s">
        <v>351</v>
      </c>
      <c r="F7" s="2" t="s">
        <v>253</v>
      </c>
      <c r="G7" s="8" t="n">
        <v>20</v>
      </c>
      <c r="H7" s="2" t="s">
        <v>214</v>
      </c>
      <c r="I7" s="8" t="n">
        <v>15</v>
      </c>
      <c r="J7" s="2" t="s">
        <v>256</v>
      </c>
      <c r="K7" s="2" t="str">
        <f aca="false">IF(OR(G7="",H7="",I7=""),"",IF(H7="&gt;=",IF(G7&gt;=I7,"Pass","Fail"),IF(G7&lt;=I7,"Pass","Fail")))</f>
        <v>Pass</v>
      </c>
      <c r="L7" s="2" t="s">
        <v>258</v>
      </c>
      <c r="M7" s="2" t="s">
        <v>352</v>
      </c>
    </row>
    <row r="8" customFormat="false" ht="15" hidden="false" customHeight="false" outlineLevel="0" collapsed="false">
      <c r="A8" s="2" t="s">
        <v>210</v>
      </c>
      <c r="B8" s="2" t="s">
        <v>217</v>
      </c>
      <c r="C8" s="2" t="s">
        <v>353</v>
      </c>
      <c r="D8" s="2" t="s">
        <v>354</v>
      </c>
      <c r="E8" s="2" t="s">
        <v>351</v>
      </c>
      <c r="F8" s="2" t="s">
        <v>211</v>
      </c>
      <c r="G8" s="7" t="n">
        <v>0.978</v>
      </c>
      <c r="H8" s="2" t="s">
        <v>214</v>
      </c>
      <c r="I8" s="7" t="n">
        <v>0.98</v>
      </c>
      <c r="J8" s="2" t="s">
        <v>215</v>
      </c>
      <c r="K8" s="2" t="str">
        <f aca="false">IF(OR(G8="",H8="",I8=""),"",IF(H8="&gt;=",IF(G8&gt;=I8,"Pass","Fail"),IF(G8&lt;=I8,"Pass","Fail")))</f>
        <v>Fail</v>
      </c>
      <c r="L8" s="2" t="s">
        <v>355</v>
      </c>
      <c r="M8" s="2" t="s">
        <v>356</v>
      </c>
    </row>
    <row r="9" customFormat="false" ht="15" hidden="false" customHeight="false" outlineLevel="0" collapsed="false">
      <c r="A9" s="2" t="s">
        <v>210</v>
      </c>
      <c r="B9" s="2" t="s">
        <v>217</v>
      </c>
      <c r="C9" s="2" t="s">
        <v>353</v>
      </c>
      <c r="D9" s="2" t="s">
        <v>354</v>
      </c>
      <c r="E9" s="2" t="s">
        <v>351</v>
      </c>
      <c r="F9" s="2" t="s">
        <v>219</v>
      </c>
      <c r="G9" s="7" t="n">
        <v>0.39</v>
      </c>
      <c r="H9" s="2" t="s">
        <v>214</v>
      </c>
      <c r="I9" s="7" t="n">
        <v>0.75</v>
      </c>
      <c r="J9" s="2" t="s">
        <v>215</v>
      </c>
      <c r="K9" s="2" t="str">
        <f aca="false">IF(OR(G9="",H9="",I9=""),"",IF(H9="&gt;=",IF(G9&gt;=I9,"Pass","Fail"),IF(G9&lt;=I9,"Pass","Fail")))</f>
        <v>Fail</v>
      </c>
      <c r="L9" s="2" t="s">
        <v>355</v>
      </c>
      <c r="M9" s="2" t="s">
        <v>357</v>
      </c>
    </row>
    <row r="10" customFormat="false" ht="15" hidden="false" customHeight="false" outlineLevel="0" collapsed="false">
      <c r="A10" s="2" t="s">
        <v>210</v>
      </c>
      <c r="B10" s="2" t="s">
        <v>217</v>
      </c>
      <c r="C10" s="2" t="s">
        <v>353</v>
      </c>
      <c r="D10" s="2" t="s">
        <v>354</v>
      </c>
      <c r="E10" s="2" t="s">
        <v>351</v>
      </c>
      <c r="F10" s="2" t="s">
        <v>231</v>
      </c>
      <c r="G10" s="4" t="n">
        <v>2</v>
      </c>
      <c r="H10" s="2" t="s">
        <v>234</v>
      </c>
      <c r="I10" s="4" t="n">
        <v>1</v>
      </c>
      <c r="J10" s="2" t="s">
        <v>235</v>
      </c>
      <c r="K10" s="2" t="str">
        <f aca="false">IF(OR(G10="",H10="",I10=""),"",IF(H10="&gt;=",IF(G10&gt;=I10,"Pass","Fail"),IF(G10&lt;=I10,"Pass","Fail")))</f>
        <v>Fail</v>
      </c>
      <c r="L10" s="2" t="s">
        <v>355</v>
      </c>
      <c r="M10" s="2"/>
    </row>
    <row r="11" customFormat="false" ht="15" hidden="false" customHeight="false" outlineLevel="0" collapsed="false">
      <c r="A11" s="2" t="s">
        <v>210</v>
      </c>
      <c r="B11" s="2" t="s">
        <v>217</v>
      </c>
      <c r="C11" s="2" t="s">
        <v>353</v>
      </c>
      <c r="D11" s="2" t="s">
        <v>354</v>
      </c>
      <c r="E11" s="2" t="s">
        <v>351</v>
      </c>
      <c r="F11" s="2" t="s">
        <v>241</v>
      </c>
      <c r="G11" s="7" t="n">
        <v>0</v>
      </c>
      <c r="H11" s="2" t="s">
        <v>234</v>
      </c>
      <c r="I11" s="7" t="n">
        <v>0.1</v>
      </c>
      <c r="J11" s="2" t="s">
        <v>215</v>
      </c>
      <c r="K11" s="2" t="str">
        <f aca="false">IF(OR(G11="",H11="",I11=""),"",IF(H11="&gt;=",IF(G11&gt;=I11,"Pass","Fail"),IF(G11&lt;=I11,"Pass","Fail")))</f>
        <v>Pass</v>
      </c>
      <c r="L11" s="2" t="s">
        <v>258</v>
      </c>
      <c r="M11" s="2"/>
    </row>
    <row r="12" customFormat="false" ht="15" hidden="false" customHeight="false" outlineLevel="0" collapsed="false">
      <c r="A12" s="2" t="s">
        <v>210</v>
      </c>
      <c r="B12" s="2" t="s">
        <v>217</v>
      </c>
      <c r="C12" s="2" t="s">
        <v>353</v>
      </c>
      <c r="D12" s="2" t="s">
        <v>354</v>
      </c>
      <c r="E12" s="2" t="s">
        <v>351</v>
      </c>
      <c r="F12" s="2" t="s">
        <v>245</v>
      </c>
      <c r="G12" s="4" t="n">
        <v>0</v>
      </c>
      <c r="H12" s="2" t="s">
        <v>234</v>
      </c>
      <c r="I12" s="4" t="n">
        <v>1</v>
      </c>
      <c r="J12" s="2" t="s">
        <v>235</v>
      </c>
      <c r="K12" s="2" t="str">
        <f aca="false">IF(OR(G12="",H12="",I12=""),"",IF(H12="&gt;=",IF(G12&gt;=I12,"Pass","Fail"),IF(G12&lt;=I12,"Pass","Fail")))</f>
        <v>Pass</v>
      </c>
      <c r="L12" s="2" t="s">
        <v>258</v>
      </c>
      <c r="M12" s="2" t="s">
        <v>358</v>
      </c>
    </row>
    <row r="13" customFormat="false" ht="15" hidden="false" customHeight="false" outlineLevel="0" collapsed="false">
      <c r="A13" s="2" t="s">
        <v>210</v>
      </c>
      <c r="B13" s="2" t="s">
        <v>217</v>
      </c>
      <c r="C13" s="2" t="s">
        <v>359</v>
      </c>
      <c r="D13" s="2" t="s">
        <v>360</v>
      </c>
      <c r="E13" s="2" t="s">
        <v>351</v>
      </c>
      <c r="F13" s="2" t="s">
        <v>258</v>
      </c>
      <c r="G13" s="5"/>
      <c r="H13" s="2"/>
      <c r="I13" s="5"/>
      <c r="J13" s="2"/>
      <c r="K13" s="2" t="str">
        <f aca="false">IF(OR(G13="",H13="",I13=""),"",IF(H13="&gt;=",IF(G13&gt;=I13,"Pass","Fail"),IF(G13&lt;=I13,"Pass","Fail")))</f>
        <v/>
      </c>
      <c r="L13" s="2" t="s">
        <v>355</v>
      </c>
      <c r="M13" s="2" t="s">
        <v>361</v>
      </c>
    </row>
    <row r="14" customFormat="false" ht="24" hidden="false" customHeight="false" outlineLevel="0" collapsed="false">
      <c r="A14" s="2" t="s">
        <v>321</v>
      </c>
      <c r="B14" s="2" t="s">
        <v>217</v>
      </c>
      <c r="C14" s="2" t="s">
        <v>362</v>
      </c>
      <c r="D14" s="2" t="s">
        <v>346</v>
      </c>
      <c r="E14" s="2" t="s">
        <v>347</v>
      </c>
      <c r="F14" s="2" t="s">
        <v>211</v>
      </c>
      <c r="G14" s="7" t="n">
        <v>1</v>
      </c>
      <c r="H14" s="2" t="s">
        <v>214</v>
      </c>
      <c r="I14" s="7" t="n">
        <v>0.98</v>
      </c>
      <c r="J14" s="2" t="s">
        <v>215</v>
      </c>
      <c r="K14" s="2" t="str">
        <f aca="false">IF(OR(G14="",H14="",I14=""),"",IF(H14="&gt;=",IF(G14&gt;=I14,"Pass","Fail"),IF(G14&lt;=I14,"Pass","Fail")))</f>
        <v>Pass</v>
      </c>
      <c r="L14" s="2" t="s">
        <v>348</v>
      </c>
      <c r="M14" s="2"/>
    </row>
    <row r="15" customFormat="false" ht="24" hidden="false" customHeight="false" outlineLevel="0" collapsed="false">
      <c r="A15" s="2" t="s">
        <v>321</v>
      </c>
      <c r="B15" s="2" t="s">
        <v>217</v>
      </c>
      <c r="C15" s="2" t="s">
        <v>362</v>
      </c>
      <c r="D15" s="2" t="s">
        <v>346</v>
      </c>
      <c r="E15" s="2" t="s">
        <v>347</v>
      </c>
      <c r="F15" s="2" t="s">
        <v>219</v>
      </c>
      <c r="G15" s="7" t="n">
        <v>0.63</v>
      </c>
      <c r="H15" s="2" t="s">
        <v>214</v>
      </c>
      <c r="I15" s="7" t="n">
        <v>0.6</v>
      </c>
      <c r="J15" s="2" t="s">
        <v>215</v>
      </c>
      <c r="K15" s="2" t="str">
        <f aca="false">IF(OR(G15="",H15="",I15=""),"",IF(H15="&gt;=",IF(G15&gt;=I15,"Pass","Fail"),IF(G15&lt;=I15,"Pass","Fail")))</f>
        <v>Pass</v>
      </c>
      <c r="L15" s="2" t="s">
        <v>348</v>
      </c>
      <c r="M15" s="2"/>
    </row>
    <row r="16" customFormat="false" ht="24" hidden="false" customHeight="false" outlineLevel="0" collapsed="false">
      <c r="A16" s="2" t="s">
        <v>321</v>
      </c>
      <c r="B16" s="2" t="s">
        <v>217</v>
      </c>
      <c r="C16" s="2" t="s">
        <v>362</v>
      </c>
      <c r="D16" s="2" t="s">
        <v>346</v>
      </c>
      <c r="E16" s="2" t="s">
        <v>347</v>
      </c>
      <c r="F16" s="2" t="s">
        <v>227</v>
      </c>
      <c r="G16" s="7" t="n">
        <v>0.77</v>
      </c>
      <c r="H16" s="2" t="s">
        <v>214</v>
      </c>
      <c r="I16" s="7" t="n">
        <v>0.6</v>
      </c>
      <c r="J16" s="2" t="s">
        <v>215</v>
      </c>
      <c r="K16" s="2" t="str">
        <f aca="false">IF(OR(G16="",H16="",I16=""),"",IF(H16="&gt;=",IF(G16&gt;=I16,"Pass","Fail"),IF(G16&lt;=I16,"Pass","Fail")))</f>
        <v>Pass</v>
      </c>
      <c r="L16" s="2" t="s">
        <v>348</v>
      </c>
      <c r="M16" s="2"/>
    </row>
    <row r="17" customFormat="false" ht="24" hidden="false" customHeight="false" outlineLevel="0" collapsed="false">
      <c r="A17" s="2" t="s">
        <v>321</v>
      </c>
      <c r="B17" s="2" t="s">
        <v>217</v>
      </c>
      <c r="C17" s="2" t="s">
        <v>362</v>
      </c>
      <c r="D17" s="2" t="s">
        <v>346</v>
      </c>
      <c r="E17" s="2" t="s">
        <v>347</v>
      </c>
      <c r="F17" s="2" t="s">
        <v>231</v>
      </c>
      <c r="G17" s="4" t="n">
        <v>1</v>
      </c>
      <c r="H17" s="2" t="s">
        <v>234</v>
      </c>
      <c r="I17" s="4" t="n">
        <v>1</v>
      </c>
      <c r="J17" s="2" t="s">
        <v>235</v>
      </c>
      <c r="K17" s="2" t="str">
        <f aca="false">IF(OR(G17="",H17="",I17=""),"",IF(H17="&gt;=",IF(G17&gt;=I17,"Pass","Fail"),IF(G17&lt;=I17,"Pass","Fail")))</f>
        <v>Pass</v>
      </c>
      <c r="L17" s="2" t="s">
        <v>348</v>
      </c>
      <c r="M17" s="2"/>
    </row>
    <row r="18" customFormat="false" ht="24" hidden="false" customHeight="false" outlineLevel="0" collapsed="false">
      <c r="A18" s="2" t="s">
        <v>321</v>
      </c>
      <c r="B18" s="2" t="s">
        <v>217</v>
      </c>
      <c r="C18" s="2" t="s">
        <v>362</v>
      </c>
      <c r="D18" s="2" t="s">
        <v>346</v>
      </c>
      <c r="E18" s="2" t="s">
        <v>347</v>
      </c>
      <c r="F18" s="2" t="s">
        <v>241</v>
      </c>
      <c r="G18" s="7" t="n">
        <v>0</v>
      </c>
      <c r="H18" s="2" t="s">
        <v>234</v>
      </c>
      <c r="I18" s="7" t="n">
        <v>0.1</v>
      </c>
      <c r="J18" s="2" t="s">
        <v>215</v>
      </c>
      <c r="K18" s="2" t="str">
        <f aca="false">IF(OR(G18="",H18="",I18=""),"",IF(H18="&gt;=",IF(G18&gt;=I18,"Pass","Fail"),IF(G18&lt;=I18,"Pass","Fail")))</f>
        <v>Pass</v>
      </c>
      <c r="L18" s="2" t="s">
        <v>348</v>
      </c>
      <c r="M18" s="2"/>
    </row>
    <row r="19" customFormat="false" ht="15" hidden="false" customHeight="false" outlineLevel="0" collapsed="false">
      <c r="A19" s="2" t="s">
        <v>321</v>
      </c>
      <c r="B19" s="2" t="s">
        <v>217</v>
      </c>
      <c r="C19" s="2" t="s">
        <v>362</v>
      </c>
      <c r="D19" s="2" t="s">
        <v>346</v>
      </c>
      <c r="E19" s="2" t="s">
        <v>351</v>
      </c>
      <c r="F19" s="2" t="s">
        <v>253</v>
      </c>
      <c r="G19" s="8" t="n">
        <v>20</v>
      </c>
      <c r="H19" s="2" t="s">
        <v>214</v>
      </c>
      <c r="I19" s="8" t="n">
        <v>15</v>
      </c>
      <c r="J19" s="2" t="s">
        <v>256</v>
      </c>
      <c r="K19" s="2" t="str">
        <f aca="false">IF(OR(G19="",H19="",I19=""),"",IF(H19="&gt;=",IF(G19&gt;=I19,"Pass","Fail"),IF(G19&lt;=I19,"Pass","Fail")))</f>
        <v>Pass</v>
      </c>
      <c r="L19" s="2" t="s">
        <v>258</v>
      </c>
      <c r="M19" s="2" t="s">
        <v>363</v>
      </c>
    </row>
    <row r="20" customFormat="false" ht="15" hidden="false" customHeight="false" outlineLevel="0" collapsed="false">
      <c r="A20" s="2" t="s">
        <v>321</v>
      </c>
      <c r="B20" s="2" t="s">
        <v>217</v>
      </c>
      <c r="C20" s="2" t="s">
        <v>364</v>
      </c>
      <c r="D20" s="2" t="s">
        <v>354</v>
      </c>
      <c r="E20" s="2" t="s">
        <v>351</v>
      </c>
      <c r="F20" s="2" t="s">
        <v>211</v>
      </c>
      <c r="G20" s="7" t="n">
        <v>0.978</v>
      </c>
      <c r="H20" s="2" t="s">
        <v>214</v>
      </c>
      <c r="I20" s="7" t="n">
        <v>0.98</v>
      </c>
      <c r="J20" s="2" t="s">
        <v>215</v>
      </c>
      <c r="K20" s="2" t="str">
        <f aca="false">IF(OR(G20="",H20="",I20=""),"",IF(H20="&gt;=",IF(G20&gt;=I20,"Pass","Fail"),IF(G20&lt;=I20,"Pass","Fail")))</f>
        <v>Fail</v>
      </c>
      <c r="L20" s="2" t="s">
        <v>365</v>
      </c>
      <c r="M20" s="2" t="s">
        <v>366</v>
      </c>
    </row>
    <row r="21" customFormat="false" ht="15" hidden="false" customHeight="false" outlineLevel="0" collapsed="false">
      <c r="A21" s="2" t="s">
        <v>321</v>
      </c>
      <c r="B21" s="2" t="s">
        <v>217</v>
      </c>
      <c r="C21" s="2" t="s">
        <v>364</v>
      </c>
      <c r="D21" s="2" t="s">
        <v>354</v>
      </c>
      <c r="E21" s="2" t="s">
        <v>351</v>
      </c>
      <c r="F21" s="2" t="s">
        <v>219</v>
      </c>
      <c r="G21" s="7" t="n">
        <v>0.69</v>
      </c>
      <c r="H21" s="2" t="s">
        <v>214</v>
      </c>
      <c r="I21" s="7" t="n">
        <v>0.6</v>
      </c>
      <c r="J21" s="2" t="s">
        <v>215</v>
      </c>
      <c r="K21" s="2" t="str">
        <f aca="false">IF(OR(G21="",H21="",I21=""),"",IF(H21="&gt;=",IF(G21&gt;=I21,"Pass","Fail"),IF(G21&lt;=I21,"Pass","Fail")))</f>
        <v>Pass</v>
      </c>
      <c r="L21" s="2" t="s">
        <v>258</v>
      </c>
      <c r="M21" s="2" t="s">
        <v>367</v>
      </c>
    </row>
    <row r="22" customFormat="false" ht="15" hidden="false" customHeight="false" outlineLevel="0" collapsed="false">
      <c r="A22" s="2" t="s">
        <v>321</v>
      </c>
      <c r="B22" s="2" t="s">
        <v>217</v>
      </c>
      <c r="C22" s="2" t="s">
        <v>364</v>
      </c>
      <c r="D22" s="2" t="s">
        <v>354</v>
      </c>
      <c r="E22" s="2" t="s">
        <v>351</v>
      </c>
      <c r="F22" s="2" t="s">
        <v>227</v>
      </c>
      <c r="G22" s="7" t="n">
        <v>0.75</v>
      </c>
      <c r="H22" s="2" t="s">
        <v>214</v>
      </c>
      <c r="I22" s="7" t="n">
        <v>0.6</v>
      </c>
      <c r="J22" s="2" t="s">
        <v>215</v>
      </c>
      <c r="K22" s="2" t="str">
        <f aca="false">IF(OR(G22="",H22="",I22=""),"",IF(H22="&gt;=",IF(G22&gt;=I22,"Pass","Fail"),IF(G22&lt;=I22,"Pass","Fail")))</f>
        <v>Pass</v>
      </c>
      <c r="L22" s="2" t="s">
        <v>258</v>
      </c>
      <c r="M22" s="2"/>
    </row>
    <row r="23" customFormat="false" ht="15" hidden="false" customHeight="false" outlineLevel="0" collapsed="false">
      <c r="A23" s="2" t="s">
        <v>321</v>
      </c>
      <c r="B23" s="2" t="s">
        <v>217</v>
      </c>
      <c r="C23" s="2" t="s">
        <v>364</v>
      </c>
      <c r="D23" s="2" t="s">
        <v>354</v>
      </c>
      <c r="E23" s="2" t="s">
        <v>351</v>
      </c>
      <c r="F23" s="2" t="s">
        <v>231</v>
      </c>
      <c r="G23" s="4" t="n">
        <v>1</v>
      </c>
      <c r="H23" s="2" t="s">
        <v>234</v>
      </c>
      <c r="I23" s="4" t="n">
        <v>1</v>
      </c>
      <c r="J23" s="2" t="s">
        <v>235</v>
      </c>
      <c r="K23" s="2" t="str">
        <f aca="false">IF(OR(G23="",H23="",I23=""),"",IF(H23="&gt;=",IF(G23&gt;=I23,"Pass","Fail"),IF(G23&lt;=I23,"Pass","Fail")))</f>
        <v>Pass</v>
      </c>
      <c r="L23" s="2" t="s">
        <v>365</v>
      </c>
      <c r="M23" s="2" t="s">
        <v>368</v>
      </c>
    </row>
    <row r="24" customFormat="false" ht="15" hidden="false" customHeight="false" outlineLevel="0" collapsed="false">
      <c r="A24" s="2" t="s">
        <v>321</v>
      </c>
      <c r="B24" s="2" t="s">
        <v>217</v>
      </c>
      <c r="C24" s="2" t="s">
        <v>364</v>
      </c>
      <c r="D24" s="2" t="s">
        <v>354</v>
      </c>
      <c r="E24" s="2" t="s">
        <v>351</v>
      </c>
      <c r="F24" s="2" t="s">
        <v>241</v>
      </c>
      <c r="G24" s="7" t="n">
        <v>0</v>
      </c>
      <c r="H24" s="2" t="s">
        <v>234</v>
      </c>
      <c r="I24" s="7" t="n">
        <v>0.1</v>
      </c>
      <c r="J24" s="2" t="s">
        <v>215</v>
      </c>
      <c r="K24" s="2" t="str">
        <f aca="false">IF(OR(G24="",H24="",I24=""),"",IF(H24="&gt;=",IF(G24&gt;=I24,"Pass","Fail"),IF(G24&lt;=I24,"Pass","Fail")))</f>
        <v>Pass</v>
      </c>
      <c r="L24" s="2" t="s">
        <v>258</v>
      </c>
      <c r="M24" s="2"/>
    </row>
    <row r="25" customFormat="false" ht="15" hidden="false" customHeight="false" outlineLevel="0" collapsed="false">
      <c r="A25" s="2" t="s">
        <v>321</v>
      </c>
      <c r="B25" s="2" t="s">
        <v>217</v>
      </c>
      <c r="C25" s="2" t="s">
        <v>364</v>
      </c>
      <c r="D25" s="2" t="s">
        <v>354</v>
      </c>
      <c r="E25" s="2" t="s">
        <v>351</v>
      </c>
      <c r="F25" s="2" t="s">
        <v>245</v>
      </c>
      <c r="G25" s="4" t="n">
        <v>0</v>
      </c>
      <c r="H25" s="2" t="s">
        <v>234</v>
      </c>
      <c r="I25" s="4" t="n">
        <v>1</v>
      </c>
      <c r="J25" s="2" t="s">
        <v>235</v>
      </c>
      <c r="K25" s="2" t="str">
        <f aca="false">IF(OR(G25="",H25="",I25=""),"",IF(H25="&gt;=",IF(G25&gt;=I25,"Pass","Fail"),IF(G25&lt;=I25,"Pass","Fail")))</f>
        <v>Pass</v>
      </c>
      <c r="L25" s="2" t="s">
        <v>258</v>
      </c>
      <c r="M25" s="2"/>
    </row>
    <row r="26" customFormat="false" ht="15" hidden="false" customHeight="false" outlineLevel="0" collapsed="false">
      <c r="A26" s="2" t="s">
        <v>321</v>
      </c>
      <c r="B26" s="2" t="s">
        <v>217</v>
      </c>
      <c r="C26" s="2" t="s">
        <v>364</v>
      </c>
      <c r="D26" s="2" t="s">
        <v>354</v>
      </c>
      <c r="E26" s="2" t="s">
        <v>351</v>
      </c>
      <c r="F26" s="2" t="s">
        <v>249</v>
      </c>
      <c r="G26" s="4" t="n">
        <v>0</v>
      </c>
      <c r="H26" s="2" t="s">
        <v>234</v>
      </c>
      <c r="I26" s="4" t="n">
        <v>0</v>
      </c>
      <c r="J26" s="2" t="s">
        <v>235</v>
      </c>
      <c r="K26" s="2" t="str">
        <f aca="false">IF(OR(G26="",H26="",I26=""),"",IF(H26="&gt;=",IF(G26&gt;=I26,"Pass","Fail"),IF(G26&lt;=I26,"Pass","Fail")))</f>
        <v>Pass</v>
      </c>
      <c r="L26" s="2" t="s">
        <v>258</v>
      </c>
      <c r="M26" s="2"/>
    </row>
    <row r="27" customFormat="false" ht="15" hidden="false" customHeight="false" outlineLevel="0" collapsed="false">
      <c r="A27" s="2" t="s">
        <v>321</v>
      </c>
      <c r="B27" s="2" t="s">
        <v>217</v>
      </c>
      <c r="C27" s="2" t="s">
        <v>369</v>
      </c>
      <c r="D27" s="2" t="s">
        <v>360</v>
      </c>
      <c r="E27" s="2" t="s">
        <v>351</v>
      </c>
      <c r="F27" s="2" t="s">
        <v>211</v>
      </c>
      <c r="G27" s="7" t="n">
        <v>0.993</v>
      </c>
      <c r="H27" s="2" t="s">
        <v>214</v>
      </c>
      <c r="I27" s="7" t="n">
        <v>0.98</v>
      </c>
      <c r="J27" s="2" t="s">
        <v>215</v>
      </c>
      <c r="K27" s="2" t="str">
        <f aca="false">IF(OR(G27="",H27="",I27=""),"",IF(H27="&gt;=",IF(G27&gt;=I27,"Pass","Fail"),IF(G27&lt;=I27,"Pass","Fail")))</f>
        <v>Pass</v>
      </c>
      <c r="L27" s="2" t="s">
        <v>258</v>
      </c>
      <c r="M27" s="2" t="s">
        <v>370</v>
      </c>
    </row>
    <row r="28" customFormat="false" ht="15" hidden="false" customHeight="false" outlineLevel="0" collapsed="false">
      <c r="A28" s="2" t="s">
        <v>321</v>
      </c>
      <c r="B28" s="2" t="s">
        <v>217</v>
      </c>
      <c r="C28" s="2" t="s">
        <v>369</v>
      </c>
      <c r="D28" s="2" t="s">
        <v>360</v>
      </c>
      <c r="E28" s="2" t="s">
        <v>351</v>
      </c>
      <c r="F28" s="2" t="s">
        <v>219</v>
      </c>
      <c r="G28" s="7" t="n">
        <v>0.79</v>
      </c>
      <c r="H28" s="2" t="s">
        <v>214</v>
      </c>
      <c r="I28" s="7" t="n">
        <v>0.6</v>
      </c>
      <c r="J28" s="2" t="s">
        <v>215</v>
      </c>
      <c r="K28" s="2" t="str">
        <f aca="false">IF(OR(G28="",H28="",I28=""),"",IF(H28="&gt;=",IF(G28&gt;=I28,"Pass","Fail"),IF(G28&lt;=I28,"Pass","Fail")))</f>
        <v>Pass</v>
      </c>
      <c r="L28" s="2" t="s">
        <v>258</v>
      </c>
      <c r="M28" s="2" t="s">
        <v>371</v>
      </c>
    </row>
    <row r="29" customFormat="false" ht="15" hidden="false" customHeight="false" outlineLevel="0" collapsed="false">
      <c r="A29" s="2" t="s">
        <v>321</v>
      </c>
      <c r="B29" s="2" t="s">
        <v>217</v>
      </c>
      <c r="C29" s="2" t="s">
        <v>369</v>
      </c>
      <c r="D29" s="2" t="s">
        <v>360</v>
      </c>
      <c r="E29" s="2" t="s">
        <v>351</v>
      </c>
      <c r="F29" s="2" t="s">
        <v>231</v>
      </c>
      <c r="G29" s="4" t="n">
        <v>1</v>
      </c>
      <c r="H29" s="2" t="s">
        <v>234</v>
      </c>
      <c r="I29" s="4" t="n">
        <v>1</v>
      </c>
      <c r="J29" s="2" t="s">
        <v>235</v>
      </c>
      <c r="K29" s="2" t="str">
        <f aca="false">IF(OR(G29="",H29="",I29=""),"",IF(H29="&gt;=",IF(G29&gt;=I29,"Pass","Fail"),IF(G29&lt;=I29,"Pass","Fail")))</f>
        <v>Pass</v>
      </c>
      <c r="L29" s="2" t="s">
        <v>365</v>
      </c>
      <c r="M29" s="2" t="s">
        <v>372</v>
      </c>
    </row>
    <row r="30" customFormat="false" ht="15" hidden="false" customHeight="false" outlineLevel="0" collapsed="false">
      <c r="A30" s="2" t="s">
        <v>321</v>
      </c>
      <c r="B30" s="2" t="s">
        <v>217</v>
      </c>
      <c r="C30" s="2" t="s">
        <v>369</v>
      </c>
      <c r="D30" s="2" t="s">
        <v>360</v>
      </c>
      <c r="E30" s="2" t="s">
        <v>351</v>
      </c>
      <c r="F30" s="2" t="s">
        <v>241</v>
      </c>
      <c r="G30" s="7" t="n">
        <v>0</v>
      </c>
      <c r="H30" s="2" t="s">
        <v>234</v>
      </c>
      <c r="I30" s="7" t="n">
        <v>0.1</v>
      </c>
      <c r="J30" s="2" t="s">
        <v>215</v>
      </c>
      <c r="K30" s="2" t="str">
        <f aca="false">IF(OR(G30="",H30="",I30=""),"",IF(H30="&gt;=",IF(G30&gt;=I30,"Pass","Fail"),IF(G30&lt;=I30,"Pass","Fail")))</f>
        <v>Pass</v>
      </c>
      <c r="L30" s="2" t="s">
        <v>258</v>
      </c>
      <c r="M30" s="2"/>
    </row>
    <row r="31" customFormat="false" ht="15" hidden="false" customHeight="false" outlineLevel="0" collapsed="false">
      <c r="A31" s="2" t="s">
        <v>321</v>
      </c>
      <c r="B31" s="2" t="s">
        <v>217</v>
      </c>
      <c r="C31" s="2" t="s">
        <v>369</v>
      </c>
      <c r="D31" s="2" t="s">
        <v>360</v>
      </c>
      <c r="E31" s="2" t="s">
        <v>351</v>
      </c>
      <c r="F31" s="2" t="s">
        <v>245</v>
      </c>
      <c r="G31" s="4" t="n">
        <v>0</v>
      </c>
      <c r="H31" s="2" t="s">
        <v>234</v>
      </c>
      <c r="I31" s="4" t="n">
        <v>1</v>
      </c>
      <c r="J31" s="2" t="s">
        <v>235</v>
      </c>
      <c r="K31" s="2" t="str">
        <f aca="false">IF(OR(G31="",H31="",I31=""),"",IF(H31="&gt;=",IF(G31&gt;=I31,"Pass","Fail"),IF(G31&lt;=I31,"Pass","Fail")))</f>
        <v>Pass</v>
      </c>
      <c r="L31" s="2" t="s">
        <v>258</v>
      </c>
      <c r="M31" s="2"/>
    </row>
    <row r="32" customFormat="false" ht="15" hidden="false" customHeight="false" outlineLevel="0" collapsed="false">
      <c r="A32" s="2" t="s">
        <v>321</v>
      </c>
      <c r="B32" s="2" t="s">
        <v>217</v>
      </c>
      <c r="C32" s="2" t="s">
        <v>369</v>
      </c>
      <c r="D32" s="2" t="s">
        <v>360</v>
      </c>
      <c r="E32" s="2" t="s">
        <v>351</v>
      </c>
      <c r="F32" s="2" t="s">
        <v>249</v>
      </c>
      <c r="G32" s="4" t="n">
        <v>0</v>
      </c>
      <c r="H32" s="2" t="s">
        <v>234</v>
      </c>
      <c r="I32" s="4" t="n">
        <v>0</v>
      </c>
      <c r="J32" s="2" t="s">
        <v>235</v>
      </c>
      <c r="K32" s="2" t="str">
        <f aca="false">IF(OR(G32="",H32="",I32=""),"",IF(H32="&gt;=",IF(G32&gt;=I32,"Pass","Fail"),IF(G32&lt;=I32,"Pass","Fail")))</f>
        <v>Pass</v>
      </c>
      <c r="L32" s="2" t="s">
        <v>258</v>
      </c>
      <c r="M32" s="2" t="s">
        <v>373</v>
      </c>
    </row>
    <row r="33" customFormat="false" ht="15" hidden="false" customHeight="false" outlineLevel="0" collapsed="false">
      <c r="A33" s="2" t="s">
        <v>324</v>
      </c>
      <c r="B33" s="2" t="s">
        <v>217</v>
      </c>
      <c r="C33" s="2" t="s">
        <v>374</v>
      </c>
      <c r="D33" s="2" t="s">
        <v>346</v>
      </c>
      <c r="E33" s="2" t="s">
        <v>351</v>
      </c>
      <c r="F33" s="2" t="s">
        <v>219</v>
      </c>
      <c r="G33" s="7" t="n">
        <v>0.35</v>
      </c>
      <c r="H33" s="2" t="s">
        <v>214</v>
      </c>
      <c r="I33" s="7" t="n">
        <v>0.6</v>
      </c>
      <c r="J33" s="2" t="s">
        <v>215</v>
      </c>
      <c r="K33" s="2" t="str">
        <f aca="false">IF(OR(G33="",H33="",I33=""),"",IF(H33="&gt;=",IF(G33&gt;=I33,"Pass","Fail"),IF(G33&lt;=I33,"Pass","Fail")))</f>
        <v>Fail</v>
      </c>
      <c r="L33" s="2" t="s">
        <v>355</v>
      </c>
      <c r="M33" s="2" t="s">
        <v>375</v>
      </c>
    </row>
    <row r="34" customFormat="false" ht="15" hidden="false" customHeight="false" outlineLevel="0" collapsed="false">
      <c r="A34" s="2" t="s">
        <v>324</v>
      </c>
      <c r="B34" s="2" t="s">
        <v>217</v>
      </c>
      <c r="C34" s="2" t="s">
        <v>374</v>
      </c>
      <c r="D34" s="2" t="s">
        <v>346</v>
      </c>
      <c r="E34" s="2" t="s">
        <v>351</v>
      </c>
      <c r="F34" s="2" t="s">
        <v>227</v>
      </c>
      <c r="G34" s="7" t="n">
        <v>0.6</v>
      </c>
      <c r="H34" s="2" t="s">
        <v>214</v>
      </c>
      <c r="I34" s="7" t="n">
        <v>0.6</v>
      </c>
      <c r="J34" s="2" t="s">
        <v>215</v>
      </c>
      <c r="K34" s="2" t="str">
        <f aca="false">IF(OR(G34="",H34="",I34=""),"",IF(H34="&gt;=",IF(G34&gt;=I34,"Pass","Fail"),IF(G34&lt;=I34,"Pass","Fail")))</f>
        <v>Pass</v>
      </c>
      <c r="L34" s="2" t="s">
        <v>258</v>
      </c>
      <c r="M34" s="2" t="s">
        <v>376</v>
      </c>
    </row>
    <row r="35" customFormat="false" ht="15" hidden="false" customHeight="false" outlineLevel="0" collapsed="false">
      <c r="A35" s="2" t="s">
        <v>324</v>
      </c>
      <c r="B35" s="2" t="s">
        <v>217</v>
      </c>
      <c r="C35" s="2" t="s">
        <v>377</v>
      </c>
      <c r="D35" s="2" t="s">
        <v>346</v>
      </c>
      <c r="E35" s="2" t="s">
        <v>351</v>
      </c>
      <c r="F35" s="2" t="s">
        <v>219</v>
      </c>
      <c r="G35" s="7" t="n">
        <v>0.6</v>
      </c>
      <c r="H35" s="2" t="s">
        <v>214</v>
      </c>
      <c r="I35" s="7" t="n">
        <v>0.6</v>
      </c>
      <c r="J35" s="2" t="s">
        <v>215</v>
      </c>
      <c r="K35" s="2" t="str">
        <f aca="false">IF(OR(G35="",H35="",I35=""),"",IF(H35="&gt;=",IF(G35&gt;=I35,"Pass","Fail"),IF(G35&lt;=I35,"Pass","Fail")))</f>
        <v>Pass</v>
      </c>
      <c r="L35" s="2" t="s">
        <v>378</v>
      </c>
      <c r="M35" s="2" t="s">
        <v>379</v>
      </c>
    </row>
    <row r="36" customFormat="false" ht="15" hidden="false" customHeight="false" outlineLevel="0" collapsed="false">
      <c r="A36" s="2" t="s">
        <v>324</v>
      </c>
      <c r="B36" s="2" t="s">
        <v>217</v>
      </c>
      <c r="C36" s="2" t="s">
        <v>380</v>
      </c>
      <c r="D36" s="2" t="s">
        <v>346</v>
      </c>
      <c r="E36" s="2" t="s">
        <v>351</v>
      </c>
      <c r="F36" s="2" t="s">
        <v>219</v>
      </c>
      <c r="G36" s="7" t="n">
        <v>0.5</v>
      </c>
      <c r="H36" s="2" t="s">
        <v>214</v>
      </c>
      <c r="I36" s="7" t="n">
        <v>0.6</v>
      </c>
      <c r="J36" s="2" t="s">
        <v>215</v>
      </c>
      <c r="K36" s="2" t="str">
        <f aca="false">IF(OR(G36="",H36="",I36=""),"",IF(H36="&gt;=",IF(G36&gt;=I36,"Pass","Fail"),IF(G36&lt;=I36,"Pass","Fail")))</f>
        <v>Fail</v>
      </c>
      <c r="L36" s="2" t="s">
        <v>381</v>
      </c>
      <c r="M36" s="2" t="s">
        <v>382</v>
      </c>
    </row>
    <row r="37" customFormat="false" ht="15" hidden="false" customHeight="false" outlineLevel="0" collapsed="false">
      <c r="A37" s="2" t="s">
        <v>324</v>
      </c>
      <c r="B37" s="2" t="s">
        <v>217</v>
      </c>
      <c r="C37" s="2" t="s">
        <v>383</v>
      </c>
      <c r="D37" s="2" t="s">
        <v>346</v>
      </c>
      <c r="E37" s="2" t="s">
        <v>351</v>
      </c>
      <c r="F37" s="2" t="s">
        <v>219</v>
      </c>
      <c r="G37" s="7" t="n">
        <v>0.52</v>
      </c>
      <c r="H37" s="2" t="s">
        <v>214</v>
      </c>
      <c r="I37" s="7" t="n">
        <v>0.6</v>
      </c>
      <c r="J37" s="2" t="s">
        <v>215</v>
      </c>
      <c r="K37" s="2" t="str">
        <f aca="false">IF(OR(G37="",H37="",I37=""),"",IF(H37="&gt;=",IF(G37&gt;=I37,"Pass","Fail"),IF(G37&lt;=I37,"Pass","Fail")))</f>
        <v>Fail</v>
      </c>
      <c r="L37" s="2" t="s">
        <v>381</v>
      </c>
      <c r="M37" s="2" t="s">
        <v>384</v>
      </c>
    </row>
    <row r="38" customFormat="false" ht="15" hidden="false" customHeight="false" outlineLevel="0" collapsed="false">
      <c r="A38" s="2" t="s">
        <v>324</v>
      </c>
      <c r="B38" s="2" t="s">
        <v>217</v>
      </c>
      <c r="C38" s="2" t="s">
        <v>385</v>
      </c>
      <c r="D38" s="2" t="s">
        <v>346</v>
      </c>
      <c r="E38" s="2" t="s">
        <v>351</v>
      </c>
      <c r="F38" s="2" t="s">
        <v>219</v>
      </c>
      <c r="G38" s="7" t="n">
        <v>0.58</v>
      </c>
      <c r="H38" s="2" t="s">
        <v>214</v>
      </c>
      <c r="I38" s="7" t="n">
        <v>0.6</v>
      </c>
      <c r="J38" s="2" t="s">
        <v>215</v>
      </c>
      <c r="K38" s="2" t="str">
        <f aca="false">IF(OR(G38="",H38="",I38=""),"",IF(H38="&gt;=",IF(G38&gt;=I38,"Pass","Fail"),IF(G38&lt;=I38,"Pass","Fail")))</f>
        <v>Fail</v>
      </c>
      <c r="L38" s="2" t="s">
        <v>381</v>
      </c>
      <c r="M38" s="2" t="s">
        <v>386</v>
      </c>
    </row>
    <row r="39" customFormat="false" ht="15" hidden="false" customHeight="false" outlineLevel="0" collapsed="false">
      <c r="A39" s="2" t="s">
        <v>324</v>
      </c>
      <c r="B39" s="2" t="s">
        <v>217</v>
      </c>
      <c r="C39" s="2" t="s">
        <v>387</v>
      </c>
      <c r="D39" s="2" t="s">
        <v>346</v>
      </c>
      <c r="E39" s="2" t="s">
        <v>351</v>
      </c>
      <c r="F39" s="2" t="s">
        <v>219</v>
      </c>
      <c r="G39" s="7" t="n">
        <v>0.48</v>
      </c>
      <c r="H39" s="2" t="s">
        <v>214</v>
      </c>
      <c r="I39" s="7" t="n">
        <v>0.6</v>
      </c>
      <c r="J39" s="2" t="s">
        <v>215</v>
      </c>
      <c r="K39" s="2" t="str">
        <f aca="false">IF(OR(G39="",H39="",I39=""),"",IF(H39="&gt;=",IF(G39&gt;=I39,"Pass","Fail"),IF(G39&lt;=I39,"Pass","Fail")))</f>
        <v>Fail</v>
      </c>
      <c r="L39" s="2" t="s">
        <v>381</v>
      </c>
      <c r="M39" s="2" t="s">
        <v>388</v>
      </c>
    </row>
    <row r="40" customFormat="false" ht="15" hidden="false" customHeight="false" outlineLevel="0" collapsed="false">
      <c r="A40" s="2" t="s">
        <v>389</v>
      </c>
      <c r="B40" s="2" t="s">
        <v>217</v>
      </c>
      <c r="C40" s="2" t="s">
        <v>390</v>
      </c>
      <c r="D40" s="2" t="s">
        <v>346</v>
      </c>
      <c r="E40" s="2" t="s">
        <v>351</v>
      </c>
      <c r="F40" s="2" t="s">
        <v>219</v>
      </c>
      <c r="G40" s="7" t="n">
        <v>0.34</v>
      </c>
      <c r="H40" s="2" t="s">
        <v>214</v>
      </c>
      <c r="I40" s="7" t="n">
        <v>0.6</v>
      </c>
      <c r="J40" s="2" t="s">
        <v>215</v>
      </c>
      <c r="K40" s="2" t="str">
        <f aca="false">IF(OR(G40="",H40="",I40=""),"",IF(H40="&gt;=",IF(G40&gt;=I40,"Pass","Fail"),IF(G40&lt;=I40,"Pass","Fail")))</f>
        <v>Fail</v>
      </c>
      <c r="L40" s="2" t="s">
        <v>355</v>
      </c>
      <c r="M40" s="2" t="s">
        <v>391</v>
      </c>
    </row>
    <row r="41" customFormat="false" ht="15" hidden="false" customHeight="false" outlineLevel="0" collapsed="false">
      <c r="A41" s="2" t="s">
        <v>389</v>
      </c>
      <c r="B41" s="2" t="s">
        <v>217</v>
      </c>
      <c r="C41" s="2" t="s">
        <v>392</v>
      </c>
      <c r="D41" s="2" t="s">
        <v>346</v>
      </c>
      <c r="E41" s="2" t="s">
        <v>351</v>
      </c>
      <c r="F41" s="2" t="s">
        <v>219</v>
      </c>
      <c r="G41" s="7" t="n">
        <v>0.38</v>
      </c>
      <c r="H41" s="2" t="s">
        <v>214</v>
      </c>
      <c r="I41" s="7" t="n">
        <v>0.6</v>
      </c>
      <c r="J41" s="2" t="s">
        <v>215</v>
      </c>
      <c r="K41" s="2" t="str">
        <f aca="false">IF(OR(G41="",H41="",I41=""),"",IF(H41="&gt;=",IF(G41&gt;=I41,"Pass","Fail"),IF(G41&lt;=I41,"Pass","Fail")))</f>
        <v>Fail</v>
      </c>
      <c r="L41" s="2" t="s">
        <v>355</v>
      </c>
      <c r="M41" s="2" t="s">
        <v>393</v>
      </c>
    </row>
    <row r="42" customFormat="false" ht="15" hidden="false" customHeight="false" outlineLevel="0" collapsed="false">
      <c r="A42" s="2" t="s">
        <v>389</v>
      </c>
      <c r="B42" s="2" t="s">
        <v>217</v>
      </c>
      <c r="C42" s="2" t="s">
        <v>394</v>
      </c>
      <c r="D42" s="2" t="s">
        <v>346</v>
      </c>
      <c r="E42" s="2" t="s">
        <v>351</v>
      </c>
      <c r="F42" s="2" t="s">
        <v>219</v>
      </c>
      <c r="G42" s="7" t="n">
        <v>0.44</v>
      </c>
      <c r="H42" s="2" t="s">
        <v>214</v>
      </c>
      <c r="I42" s="7" t="n">
        <v>0.6</v>
      </c>
      <c r="J42" s="2" t="s">
        <v>215</v>
      </c>
      <c r="K42" s="2" t="str">
        <f aca="false">IF(OR(G42="",H42="",I42=""),"",IF(H42="&gt;=",IF(G42&gt;=I42,"Pass","Fail"),IF(G42&lt;=I42,"Pass","Fail")))</f>
        <v>Fail</v>
      </c>
      <c r="L42" s="2" t="s">
        <v>355</v>
      </c>
      <c r="M42" s="2" t="s">
        <v>395</v>
      </c>
    </row>
    <row r="43" customFormat="false" ht="15" hidden="false" customHeight="false" outlineLevel="0" collapsed="false">
      <c r="A43" s="2" t="s">
        <v>389</v>
      </c>
      <c r="B43" s="2" t="s">
        <v>217</v>
      </c>
      <c r="C43" s="2" t="s">
        <v>396</v>
      </c>
      <c r="D43" s="2" t="s">
        <v>346</v>
      </c>
      <c r="E43" s="2" t="s">
        <v>351</v>
      </c>
      <c r="F43" s="2" t="s">
        <v>219</v>
      </c>
      <c r="G43" s="7" t="n">
        <v>0.5</v>
      </c>
      <c r="H43" s="2" t="s">
        <v>214</v>
      </c>
      <c r="I43" s="7" t="n">
        <v>0.6</v>
      </c>
      <c r="J43" s="2" t="s">
        <v>215</v>
      </c>
      <c r="K43" s="2" t="str">
        <f aca="false">IF(OR(G43="",H43="",I43=""),"",IF(H43="&gt;=",IF(G43&gt;=I43,"Pass","Fail"),IF(G43&lt;=I43,"Pass","Fail")))</f>
        <v>Fail</v>
      </c>
      <c r="L43" s="2" t="s">
        <v>355</v>
      </c>
      <c r="M43" s="2" t="s">
        <v>397</v>
      </c>
    </row>
    <row r="44" customFormat="false" ht="15" hidden="false" customHeight="false" outlineLevel="0" collapsed="false">
      <c r="A44" s="2" t="s">
        <v>389</v>
      </c>
      <c r="B44" s="2" t="s">
        <v>217</v>
      </c>
      <c r="C44" s="2" t="s">
        <v>398</v>
      </c>
      <c r="D44" s="2" t="s">
        <v>346</v>
      </c>
      <c r="E44" s="2" t="s">
        <v>351</v>
      </c>
      <c r="F44" s="2" t="s">
        <v>219</v>
      </c>
      <c r="G44" s="7" t="n">
        <v>0.53</v>
      </c>
      <c r="H44" s="2" t="s">
        <v>214</v>
      </c>
      <c r="I44" s="7" t="n">
        <v>0.6</v>
      </c>
      <c r="J44" s="2" t="s">
        <v>215</v>
      </c>
      <c r="K44" s="2" t="str">
        <f aca="false">IF(OR(G44="",H44="",I44=""),"",IF(H44="&gt;=",IF(G44&gt;=I44,"Pass","Fail"),IF(G44&lt;=I44,"Pass","Fail")))</f>
        <v>Fail</v>
      </c>
      <c r="L44" s="2" t="s">
        <v>355</v>
      </c>
      <c r="M44" s="2" t="s">
        <v>397</v>
      </c>
    </row>
    <row r="45" customFormat="false" ht="15" hidden="false" customHeight="false" outlineLevel="0" collapsed="false">
      <c r="A45" s="2" t="s">
        <v>389</v>
      </c>
      <c r="B45" s="2" t="s">
        <v>217</v>
      </c>
      <c r="C45" s="2" t="s">
        <v>399</v>
      </c>
      <c r="D45" s="2" t="s">
        <v>400</v>
      </c>
      <c r="E45" s="2" t="s">
        <v>351</v>
      </c>
      <c r="F45" s="2" t="s">
        <v>231</v>
      </c>
      <c r="G45" s="4" t="n">
        <v>2</v>
      </c>
      <c r="H45" s="2" t="s">
        <v>234</v>
      </c>
      <c r="I45" s="4" t="n">
        <v>1</v>
      </c>
      <c r="J45" s="2" t="s">
        <v>235</v>
      </c>
      <c r="K45" s="2" t="str">
        <f aca="false">IF(OR(G45="",H45="",I45=""),"",IF(H45="&gt;=",IF(G45&gt;=I45,"Pass","Fail"),IF(G45&lt;=I45,"Pass","Fail")))</f>
        <v>Fail</v>
      </c>
      <c r="L45" s="2" t="s">
        <v>355</v>
      </c>
      <c r="M45" s="2" t="s">
        <v>401</v>
      </c>
    </row>
    <row r="46" customFormat="false" ht="15" hidden="false" customHeight="false" outlineLevel="0" collapsed="false">
      <c r="A46" s="2" t="s">
        <v>261</v>
      </c>
      <c r="B46" s="2" t="s">
        <v>266</v>
      </c>
      <c r="C46" s="2" t="s">
        <v>402</v>
      </c>
      <c r="D46" s="2" t="s">
        <v>346</v>
      </c>
      <c r="E46" s="2" t="s">
        <v>351</v>
      </c>
      <c r="F46" s="2" t="s">
        <v>262</v>
      </c>
      <c r="G46" s="7" t="n">
        <v>0.43</v>
      </c>
      <c r="H46" s="2"/>
      <c r="I46" s="7"/>
      <c r="J46" s="2" t="s">
        <v>215</v>
      </c>
      <c r="K46" s="2" t="str">
        <f aca="false">IF(OR(G46="",H46="",I46=""),"",IF(H46="&gt;=",IF(G46&gt;=I46,"Pass","Fail"),IF(G46&lt;=I46,"Pass","Fail")))</f>
        <v/>
      </c>
      <c r="L46" s="2" t="s">
        <v>381</v>
      </c>
      <c r="M46" s="2" t="s">
        <v>403</v>
      </c>
    </row>
    <row r="47" customFormat="false" ht="15" hidden="false" customHeight="false" outlineLevel="0" collapsed="false">
      <c r="A47" s="2" t="s">
        <v>261</v>
      </c>
      <c r="B47" s="2" t="s">
        <v>266</v>
      </c>
      <c r="C47" s="2" t="s">
        <v>404</v>
      </c>
      <c r="D47" s="2" t="s">
        <v>346</v>
      </c>
      <c r="E47" s="2" t="s">
        <v>351</v>
      </c>
      <c r="F47" s="2" t="s">
        <v>262</v>
      </c>
      <c r="G47" s="7" t="n">
        <v>0.37</v>
      </c>
      <c r="H47" s="2"/>
      <c r="I47" s="7"/>
      <c r="J47" s="2" t="s">
        <v>215</v>
      </c>
      <c r="K47" s="2" t="str">
        <f aca="false">IF(OR(G47="",H47="",I47=""),"",IF(H47="&gt;=",IF(G47&gt;=I47,"Pass","Fail"),IF(G47&lt;=I47,"Pass","Fail")))</f>
        <v/>
      </c>
      <c r="L47" s="2" t="s">
        <v>381</v>
      </c>
      <c r="M47" s="2" t="s">
        <v>405</v>
      </c>
    </row>
    <row r="48" customFormat="false" ht="15" hidden="false" customHeight="false" outlineLevel="0" collapsed="false">
      <c r="A48" s="2" t="s">
        <v>261</v>
      </c>
      <c r="B48" s="2" t="s">
        <v>266</v>
      </c>
      <c r="C48" s="2" t="s">
        <v>406</v>
      </c>
      <c r="D48" s="2" t="s">
        <v>346</v>
      </c>
      <c r="E48" s="2" t="s">
        <v>351</v>
      </c>
      <c r="F48" s="2" t="s">
        <v>262</v>
      </c>
      <c r="G48" s="7" t="n">
        <v>0.4</v>
      </c>
      <c r="H48" s="2"/>
      <c r="I48" s="7"/>
      <c r="J48" s="2" t="s">
        <v>215</v>
      </c>
      <c r="K48" s="2" t="str">
        <f aca="false">IF(OR(G48="",H48="",I48=""),"",IF(H48="&gt;=",IF(G48&gt;=I48,"Pass","Fail"),IF(G48&lt;=I48,"Pass","Fail")))</f>
        <v/>
      </c>
      <c r="L48" s="2" t="s">
        <v>381</v>
      </c>
      <c r="M48" s="2" t="s">
        <v>395</v>
      </c>
    </row>
    <row r="49" customFormat="false" ht="15" hidden="false" customHeight="false" outlineLevel="0" collapsed="false">
      <c r="A49" s="2" t="s">
        <v>261</v>
      </c>
      <c r="B49" s="2" t="s">
        <v>266</v>
      </c>
      <c r="C49" s="2" t="s">
        <v>407</v>
      </c>
      <c r="D49" s="2" t="s">
        <v>346</v>
      </c>
      <c r="E49" s="2" t="s">
        <v>351</v>
      </c>
      <c r="F49" s="2" t="s">
        <v>262</v>
      </c>
      <c r="G49" s="7" t="n">
        <v>0.53</v>
      </c>
      <c r="H49" s="2"/>
      <c r="I49" s="7"/>
      <c r="J49" s="2" t="s">
        <v>215</v>
      </c>
      <c r="K49" s="2" t="str">
        <f aca="false">IF(OR(G49="",H49="",I49=""),"",IF(H49="&gt;=",IF(G49&gt;=I49,"Pass","Fail"),IF(G49&lt;=I49,"Pass","Fail")))</f>
        <v/>
      </c>
      <c r="L49" s="2" t="s">
        <v>381</v>
      </c>
      <c r="M49" s="2" t="s">
        <v>408</v>
      </c>
    </row>
    <row r="50" customFormat="false" ht="15" hidden="false" customHeight="false" outlineLevel="0" collapsed="false">
      <c r="A50" s="2" t="s">
        <v>261</v>
      </c>
      <c r="B50" s="2" t="s">
        <v>266</v>
      </c>
      <c r="C50" s="2" t="s">
        <v>409</v>
      </c>
      <c r="D50" s="2" t="s">
        <v>359</v>
      </c>
      <c r="E50" s="2" t="s">
        <v>351</v>
      </c>
      <c r="F50" s="2" t="s">
        <v>274</v>
      </c>
      <c r="G50" s="9" t="n">
        <v>0.98</v>
      </c>
      <c r="H50" s="2" t="s">
        <v>234</v>
      </c>
      <c r="I50" s="9" t="n">
        <v>3</v>
      </c>
      <c r="J50" s="2" t="s">
        <v>277</v>
      </c>
      <c r="K50" s="2" t="str">
        <f aca="false">IF(OR(G50="",H50="",I50=""),"",IF(H50="&gt;=",IF(G50&gt;=I50,"Pass","Fail"),IF(G50&lt;=I50,"Pass","Fail")))</f>
        <v>Pass</v>
      </c>
      <c r="L50" s="2" t="s">
        <v>258</v>
      </c>
      <c r="M50" s="2" t="s">
        <v>410</v>
      </c>
    </row>
    <row r="51" customFormat="false" ht="15" hidden="false" customHeight="false" outlineLevel="0" collapsed="false">
      <c r="A51" s="2" t="s">
        <v>411</v>
      </c>
      <c r="B51" s="2" t="s">
        <v>266</v>
      </c>
      <c r="C51" s="2" t="s">
        <v>412</v>
      </c>
      <c r="D51" s="2" t="s">
        <v>346</v>
      </c>
      <c r="E51" s="2" t="s">
        <v>351</v>
      </c>
      <c r="F51" s="2" t="s">
        <v>211</v>
      </c>
      <c r="G51" s="7" t="n">
        <v>1</v>
      </c>
      <c r="H51" s="2" t="s">
        <v>214</v>
      </c>
      <c r="I51" s="7" t="n">
        <v>0.98</v>
      </c>
      <c r="J51" s="2" t="s">
        <v>215</v>
      </c>
      <c r="K51" s="2" t="str">
        <f aca="false">IF(OR(G51="",H51="",I51=""),"",IF(H51="&gt;=",IF(G51&gt;=I51,"Pass","Fail"),IF(G51&lt;=I51,"Pass","Fail")))</f>
        <v>Pass</v>
      </c>
      <c r="L51" s="2" t="s">
        <v>258</v>
      </c>
      <c r="M51" s="2" t="s">
        <v>413</v>
      </c>
    </row>
    <row r="52" customFormat="false" ht="15" hidden="false" customHeight="false" outlineLevel="0" collapsed="false">
      <c r="A52" s="2" t="s">
        <v>411</v>
      </c>
      <c r="B52" s="2" t="s">
        <v>266</v>
      </c>
      <c r="C52" s="2" t="s">
        <v>412</v>
      </c>
      <c r="D52" s="2" t="s">
        <v>346</v>
      </c>
      <c r="E52" s="2" t="s">
        <v>351</v>
      </c>
      <c r="F52" s="2" t="s">
        <v>219</v>
      </c>
      <c r="G52" s="7" t="n">
        <v>0.45</v>
      </c>
      <c r="H52" s="2" t="s">
        <v>214</v>
      </c>
      <c r="I52" s="7" t="n">
        <v>0.6</v>
      </c>
      <c r="J52" s="2" t="s">
        <v>215</v>
      </c>
      <c r="K52" s="2" t="str">
        <f aca="false">IF(OR(G52="",H52="",I52=""),"",IF(H52="&gt;=",IF(G52&gt;=I52,"Pass","Fail"),IF(G52&lt;=I52,"Pass","Fail")))</f>
        <v>Fail</v>
      </c>
      <c r="L52" s="2" t="s">
        <v>355</v>
      </c>
      <c r="M52" s="2" t="s">
        <v>414</v>
      </c>
    </row>
    <row r="53" customFormat="false" ht="24" hidden="false" customHeight="false" outlineLevel="0" collapsed="false">
      <c r="A53" s="2" t="s">
        <v>411</v>
      </c>
      <c r="B53" s="2" t="s">
        <v>266</v>
      </c>
      <c r="C53" s="2" t="s">
        <v>412</v>
      </c>
      <c r="D53" s="2" t="s">
        <v>346</v>
      </c>
      <c r="E53" s="2" t="s">
        <v>351</v>
      </c>
      <c r="F53" s="2" t="s">
        <v>231</v>
      </c>
      <c r="G53" s="4"/>
      <c r="H53" s="2" t="s">
        <v>234</v>
      </c>
      <c r="I53" s="4" t="n">
        <v>1</v>
      </c>
      <c r="J53" s="2" t="s">
        <v>235</v>
      </c>
      <c r="K53" s="2" t="str">
        <f aca="false">IF(OR(G53="",H53="",I53=""),"",IF(H53="&gt;=",IF(G53&gt;=I53,"Pass","Fail"),IF(G53&lt;=I53,"Pass","Fail")))</f>
        <v/>
      </c>
      <c r="L53" s="2" t="s">
        <v>355</v>
      </c>
      <c r="M53" s="2" t="s">
        <v>415</v>
      </c>
    </row>
    <row r="54" customFormat="false" ht="15" hidden="false" customHeight="false" outlineLevel="0" collapsed="false">
      <c r="A54" s="2" t="s">
        <v>411</v>
      </c>
      <c r="B54" s="2" t="s">
        <v>266</v>
      </c>
      <c r="C54" s="2" t="s">
        <v>412</v>
      </c>
      <c r="D54" s="2" t="s">
        <v>346</v>
      </c>
      <c r="E54" s="2" t="s">
        <v>351</v>
      </c>
      <c r="F54" s="2" t="s">
        <v>253</v>
      </c>
      <c r="G54" s="8" t="n">
        <v>2</v>
      </c>
      <c r="H54" s="2" t="s">
        <v>214</v>
      </c>
      <c r="I54" s="8" t="n">
        <v>15</v>
      </c>
      <c r="J54" s="2" t="s">
        <v>256</v>
      </c>
      <c r="K54" s="2" t="str">
        <f aca="false">IF(OR(G54="",H54="",I54=""),"",IF(H54="&gt;=",IF(G54&gt;=I54,"Pass","Fail"),IF(G54&lt;=I54,"Pass","Fail")))</f>
        <v>Fail</v>
      </c>
      <c r="L54" s="2" t="s">
        <v>355</v>
      </c>
      <c r="M54" s="2" t="s">
        <v>416</v>
      </c>
    </row>
    <row r="55" customFormat="false" ht="24" hidden="false" customHeight="false" outlineLevel="0" collapsed="false">
      <c r="A55" s="2" t="s">
        <v>279</v>
      </c>
      <c r="B55" s="2" t="s">
        <v>266</v>
      </c>
      <c r="C55" s="2" t="s">
        <v>417</v>
      </c>
      <c r="D55" s="2" t="s">
        <v>418</v>
      </c>
      <c r="E55" s="2" t="s">
        <v>419</v>
      </c>
      <c r="F55" s="2" t="s">
        <v>292</v>
      </c>
      <c r="G55" s="7" t="n">
        <v>0.31</v>
      </c>
      <c r="H55" s="2" t="s">
        <v>214</v>
      </c>
      <c r="I55" s="7" t="n">
        <v>0.6</v>
      </c>
      <c r="J55" s="2" t="s">
        <v>215</v>
      </c>
      <c r="K55" s="2" t="str">
        <f aca="false">IF(OR(G55="",H55="",I55=""),"",IF(H55="&gt;=",IF(G55&gt;=I55,"Pass","Fail"),IF(G55&lt;=I55,"Pass","Fail")))</f>
        <v>Fail</v>
      </c>
      <c r="L55" s="2" t="s">
        <v>419</v>
      </c>
      <c r="M55" s="2" t="s">
        <v>420</v>
      </c>
    </row>
    <row r="56" customFormat="false" ht="24" hidden="false" customHeight="false" outlineLevel="0" collapsed="false">
      <c r="A56" s="2" t="s">
        <v>279</v>
      </c>
      <c r="B56" s="2" t="s">
        <v>266</v>
      </c>
      <c r="C56" s="2" t="s">
        <v>417</v>
      </c>
      <c r="D56" s="2" t="s">
        <v>418</v>
      </c>
      <c r="E56" s="2" t="s">
        <v>419</v>
      </c>
      <c r="F56" s="2" t="s">
        <v>296</v>
      </c>
      <c r="G56" s="7" t="n">
        <v>0.68</v>
      </c>
      <c r="H56" s="2" t="s">
        <v>214</v>
      </c>
      <c r="I56" s="7" t="n">
        <v>0.6</v>
      </c>
      <c r="J56" s="2" t="s">
        <v>215</v>
      </c>
      <c r="K56" s="2" t="str">
        <f aca="false">IF(OR(G56="",H56="",I56=""),"",IF(H56="&gt;=",IF(G56&gt;=I56,"Pass","Fail"),IF(G56&lt;=I56,"Pass","Fail")))</f>
        <v>Pass</v>
      </c>
      <c r="L56" s="2" t="s">
        <v>419</v>
      </c>
      <c r="M56" s="2" t="s">
        <v>421</v>
      </c>
    </row>
    <row r="57" customFormat="false" ht="24" hidden="false" customHeight="false" outlineLevel="0" collapsed="false">
      <c r="A57" s="2" t="s">
        <v>279</v>
      </c>
      <c r="B57" s="2" t="s">
        <v>266</v>
      </c>
      <c r="C57" s="2" t="s">
        <v>417</v>
      </c>
      <c r="D57" s="2" t="s">
        <v>418</v>
      </c>
      <c r="E57" s="2" t="s">
        <v>419</v>
      </c>
      <c r="F57" s="2" t="s">
        <v>299</v>
      </c>
      <c r="G57" s="4" t="n">
        <v>8</v>
      </c>
      <c r="H57" s="2" t="s">
        <v>234</v>
      </c>
      <c r="I57" s="4" t="n">
        <v>1</v>
      </c>
      <c r="J57" s="2" t="s">
        <v>235</v>
      </c>
      <c r="K57" s="2" t="str">
        <f aca="false">IF(OR(G57="",H57="",I57=""),"",IF(H57="&gt;=",IF(G57&gt;=I57,"Pass","Fail"),IF(G57&lt;=I57,"Pass","Fail")))</f>
        <v>Fail</v>
      </c>
      <c r="L57" s="2" t="s">
        <v>419</v>
      </c>
      <c r="M57" s="2"/>
    </row>
    <row r="58" customFormat="false" ht="24" hidden="false" customHeight="false" outlineLevel="0" collapsed="false">
      <c r="A58" s="2" t="s">
        <v>279</v>
      </c>
      <c r="B58" s="2" t="s">
        <v>266</v>
      </c>
      <c r="C58" s="2" t="s">
        <v>417</v>
      </c>
      <c r="D58" s="2" t="s">
        <v>418</v>
      </c>
      <c r="E58" s="2" t="s">
        <v>419</v>
      </c>
      <c r="F58" s="2" t="s">
        <v>303</v>
      </c>
      <c r="G58" s="4" t="n">
        <v>15</v>
      </c>
      <c r="H58" s="2" t="s">
        <v>234</v>
      </c>
      <c r="I58" s="4" t="n">
        <v>1</v>
      </c>
      <c r="J58" s="2" t="s">
        <v>235</v>
      </c>
      <c r="K58" s="2" t="str">
        <f aca="false">IF(OR(G58="",H58="",I58=""),"",IF(H58="&gt;=",IF(G58&gt;=I58,"Pass","Fail"),IF(G58&lt;=I58,"Pass","Fail")))</f>
        <v>Fail</v>
      </c>
      <c r="L58" s="2" t="s">
        <v>419</v>
      </c>
      <c r="M58" s="2"/>
    </row>
    <row r="59" customFormat="false" ht="24" hidden="false" customHeight="false" outlineLevel="0" collapsed="false">
      <c r="A59" s="2" t="s">
        <v>279</v>
      </c>
      <c r="B59" s="2" t="s">
        <v>266</v>
      </c>
      <c r="C59" s="2" t="s">
        <v>417</v>
      </c>
      <c r="D59" s="2" t="s">
        <v>418</v>
      </c>
      <c r="E59" s="2" t="s">
        <v>419</v>
      </c>
      <c r="F59" s="2" t="s">
        <v>306</v>
      </c>
      <c r="G59" s="10" t="n">
        <v>0.84</v>
      </c>
      <c r="H59" s="2"/>
      <c r="I59" s="10"/>
      <c r="J59" s="2" t="s">
        <v>309</v>
      </c>
      <c r="K59" s="2" t="str">
        <f aca="false">IF(OR(G59="",H59="",I59=""),"",IF(H59="&gt;=",IF(G59&gt;=I59,"Pass","Fail"),IF(G59&lt;=I59,"Pass","Fail")))</f>
        <v/>
      </c>
      <c r="L59" s="2" t="s">
        <v>419</v>
      </c>
      <c r="M59" s="2" t="s">
        <v>422</v>
      </c>
    </row>
    <row r="60" customFormat="false" ht="24" hidden="false" customHeight="false" outlineLevel="0" collapsed="false">
      <c r="A60" s="2" t="s">
        <v>279</v>
      </c>
      <c r="B60" s="2" t="s">
        <v>266</v>
      </c>
      <c r="C60" s="2" t="s">
        <v>423</v>
      </c>
      <c r="D60" s="2" t="s">
        <v>418</v>
      </c>
      <c r="E60" s="2" t="s">
        <v>351</v>
      </c>
      <c r="F60" s="2" t="s">
        <v>284</v>
      </c>
      <c r="G60" s="8" t="n">
        <v>9</v>
      </c>
      <c r="H60" s="2" t="s">
        <v>234</v>
      </c>
      <c r="I60" s="8" t="n">
        <v>3</v>
      </c>
      <c r="J60" s="2" t="s">
        <v>256</v>
      </c>
      <c r="K60" s="2" t="str">
        <f aca="false">IF(OR(G60="",H60="",I60=""),"",IF(H60="&gt;=",IF(G60&gt;=I60,"Pass","Fail"),IF(G60&lt;=I60,"Pass","Fail")))</f>
        <v>Fail</v>
      </c>
      <c r="L60" s="2" t="s">
        <v>355</v>
      </c>
      <c r="M60" s="2" t="s">
        <v>424</v>
      </c>
    </row>
    <row r="61" customFormat="false" ht="24" hidden="false" customHeight="false" outlineLevel="0" collapsed="false">
      <c r="A61" s="2" t="s">
        <v>279</v>
      </c>
      <c r="B61" s="2" t="s">
        <v>266</v>
      </c>
      <c r="C61" s="2" t="s">
        <v>423</v>
      </c>
      <c r="D61" s="2" t="s">
        <v>418</v>
      </c>
      <c r="E61" s="2" t="s">
        <v>347</v>
      </c>
      <c r="F61" s="2" t="s">
        <v>292</v>
      </c>
      <c r="G61" s="7" t="n">
        <v>0.41</v>
      </c>
      <c r="H61" s="2" t="s">
        <v>214</v>
      </c>
      <c r="I61" s="7" t="n">
        <v>0.6</v>
      </c>
      <c r="J61" s="2" t="s">
        <v>215</v>
      </c>
      <c r="K61" s="2" t="str">
        <f aca="false">IF(OR(G61="",H61="",I61=""),"",IF(H61="&gt;=",IF(G61&gt;=I61,"Pass","Fail"),IF(G61&lt;=I61,"Pass","Fail")))</f>
        <v>Fail</v>
      </c>
      <c r="L61" s="2" t="s">
        <v>355</v>
      </c>
      <c r="M61" s="2" t="s">
        <v>425</v>
      </c>
    </row>
    <row r="62" customFormat="false" ht="24" hidden="false" customHeight="false" outlineLevel="0" collapsed="false">
      <c r="A62" s="2" t="s">
        <v>279</v>
      </c>
      <c r="B62" s="2" t="s">
        <v>266</v>
      </c>
      <c r="C62" s="2" t="s">
        <v>423</v>
      </c>
      <c r="D62" s="2" t="s">
        <v>418</v>
      </c>
      <c r="E62" s="2" t="s">
        <v>347</v>
      </c>
      <c r="F62" s="2" t="s">
        <v>296</v>
      </c>
      <c r="G62" s="7" t="n">
        <v>0.59</v>
      </c>
      <c r="H62" s="2" t="s">
        <v>214</v>
      </c>
      <c r="I62" s="7" t="n">
        <v>0.6</v>
      </c>
      <c r="J62" s="2" t="s">
        <v>215</v>
      </c>
      <c r="K62" s="2" t="str">
        <f aca="false">IF(OR(G62="",H62="",I62=""),"",IF(H62="&gt;=",IF(G62&gt;=I62,"Pass","Fail"),IF(G62&lt;=I62,"Pass","Fail")))</f>
        <v>Fail</v>
      </c>
      <c r="L62" s="2" t="s">
        <v>355</v>
      </c>
      <c r="M62" s="2" t="s">
        <v>426</v>
      </c>
    </row>
    <row r="63" customFormat="false" ht="24" hidden="false" customHeight="false" outlineLevel="0" collapsed="false">
      <c r="A63" s="2" t="s">
        <v>279</v>
      </c>
      <c r="B63" s="2" t="s">
        <v>266</v>
      </c>
      <c r="C63" s="2" t="s">
        <v>423</v>
      </c>
      <c r="D63" s="2" t="s">
        <v>418</v>
      </c>
      <c r="E63" s="2" t="s">
        <v>347</v>
      </c>
      <c r="F63" s="2" t="s">
        <v>299</v>
      </c>
      <c r="G63" s="4" t="n">
        <v>4</v>
      </c>
      <c r="H63" s="2" t="s">
        <v>234</v>
      </c>
      <c r="I63" s="4" t="n">
        <v>1</v>
      </c>
      <c r="J63" s="2" t="s">
        <v>235</v>
      </c>
      <c r="K63" s="2" t="str">
        <f aca="false">IF(OR(G63="",H63="",I63=""),"",IF(H63="&gt;=",IF(G63&gt;=I63,"Pass","Fail"),IF(G63&lt;=I63,"Pass","Fail")))</f>
        <v>Fail</v>
      </c>
      <c r="L63" s="2" t="s">
        <v>355</v>
      </c>
      <c r="M63" s="2"/>
    </row>
    <row r="64" customFormat="false" ht="24" hidden="false" customHeight="false" outlineLevel="0" collapsed="false">
      <c r="A64" s="2" t="s">
        <v>279</v>
      </c>
      <c r="B64" s="2" t="s">
        <v>266</v>
      </c>
      <c r="C64" s="2" t="s">
        <v>423</v>
      </c>
      <c r="D64" s="2" t="s">
        <v>418</v>
      </c>
      <c r="E64" s="2" t="s">
        <v>347</v>
      </c>
      <c r="F64" s="2" t="s">
        <v>303</v>
      </c>
      <c r="G64" s="4" t="n">
        <v>6</v>
      </c>
      <c r="H64" s="2" t="s">
        <v>234</v>
      </c>
      <c r="I64" s="4" t="n">
        <v>1</v>
      </c>
      <c r="J64" s="2" t="s">
        <v>235</v>
      </c>
      <c r="K64" s="2" t="str">
        <f aca="false">IF(OR(G64="",H64="",I64=""),"",IF(H64="&gt;=",IF(G64&gt;=I64,"Pass","Fail"),IF(G64&lt;=I64,"Pass","Fail")))</f>
        <v>Fail</v>
      </c>
      <c r="L64" s="2" t="s">
        <v>355</v>
      </c>
      <c r="M64" s="2"/>
    </row>
    <row r="65" customFormat="false" ht="24" hidden="false" customHeight="false" outlineLevel="0" collapsed="false">
      <c r="A65" s="2" t="s">
        <v>279</v>
      </c>
      <c r="B65" s="2" t="s">
        <v>266</v>
      </c>
      <c r="C65" s="2" t="s">
        <v>423</v>
      </c>
      <c r="D65" s="2" t="s">
        <v>418</v>
      </c>
      <c r="E65" s="2" t="s">
        <v>347</v>
      </c>
      <c r="F65" s="2" t="s">
        <v>306</v>
      </c>
      <c r="G65" s="10" t="n">
        <v>0.93</v>
      </c>
      <c r="H65" s="2"/>
      <c r="I65" s="10"/>
      <c r="J65" s="2" t="s">
        <v>309</v>
      </c>
      <c r="K65" s="2" t="str">
        <f aca="false">IF(OR(G65="",H65="",I65=""),"",IF(H65="&gt;=",IF(G65&gt;=I65,"Pass","Fail"),IF(G65&lt;=I65,"Pass","Fail")))</f>
        <v/>
      </c>
      <c r="L65" s="2" t="s">
        <v>419</v>
      </c>
      <c r="M65" s="2" t="s">
        <v>422</v>
      </c>
    </row>
    <row r="66" customFormat="false" ht="24" hidden="false" customHeight="false" outlineLevel="0" collapsed="false">
      <c r="A66" s="2" t="s">
        <v>279</v>
      </c>
      <c r="B66" s="2" t="s">
        <v>266</v>
      </c>
      <c r="C66" s="2" t="s">
        <v>427</v>
      </c>
      <c r="D66" s="2" t="s">
        <v>418</v>
      </c>
      <c r="E66" s="2" t="s">
        <v>351</v>
      </c>
      <c r="F66" s="2" t="s">
        <v>288</v>
      </c>
      <c r="G66" s="5"/>
      <c r="H66" s="2"/>
      <c r="I66" s="5"/>
      <c r="J66" s="2"/>
      <c r="K66" s="2" t="str">
        <f aca="false">IF(OR(G66="",H66="",I66=""),"",IF(H66="&gt;=",IF(G66&gt;=I66,"Pass","Fail"),IF(G66&lt;=I66,"Pass","Fail")))</f>
        <v/>
      </c>
      <c r="L66" s="2" t="s">
        <v>381</v>
      </c>
      <c r="M66" s="2" t="s">
        <v>428</v>
      </c>
    </row>
    <row r="67" customFormat="false" ht="24" hidden="false" customHeight="false" outlineLevel="0" collapsed="false">
      <c r="A67" s="2" t="s">
        <v>279</v>
      </c>
      <c r="B67" s="2" t="s">
        <v>266</v>
      </c>
      <c r="C67" s="2" t="s">
        <v>429</v>
      </c>
      <c r="D67" s="2" t="s">
        <v>418</v>
      </c>
      <c r="E67" s="2" t="s">
        <v>351</v>
      </c>
      <c r="F67" s="2" t="s">
        <v>288</v>
      </c>
      <c r="G67" s="8" t="n">
        <v>7</v>
      </c>
      <c r="H67" s="2"/>
      <c r="I67" s="8"/>
      <c r="J67" s="2" t="s">
        <v>256</v>
      </c>
      <c r="K67" s="2" t="str">
        <f aca="false">IF(OR(G67="",H67="",I67=""),"",IF(H67="&gt;=",IF(G67&gt;=I67,"Pass","Fail"),IF(G67&lt;=I67,"Pass","Fail")))</f>
        <v/>
      </c>
      <c r="L67" s="2" t="s">
        <v>378</v>
      </c>
      <c r="M67" s="2" t="s">
        <v>430</v>
      </c>
    </row>
    <row r="68" customFormat="false" ht="24" hidden="false" customHeight="false" outlineLevel="0" collapsed="false">
      <c r="A68" s="2" t="s">
        <v>279</v>
      </c>
      <c r="B68" s="2" t="s">
        <v>266</v>
      </c>
      <c r="C68" s="2" t="s">
        <v>431</v>
      </c>
      <c r="D68" s="2" t="s">
        <v>418</v>
      </c>
      <c r="E68" s="2" t="s">
        <v>351</v>
      </c>
      <c r="F68" s="2" t="s">
        <v>288</v>
      </c>
      <c r="G68" s="5"/>
      <c r="H68" s="2"/>
      <c r="I68" s="5"/>
      <c r="J68" s="2"/>
      <c r="K68" s="2" t="str">
        <f aca="false">IF(OR(G68="",H68="",I68=""),"",IF(H68="&gt;=",IF(G68&gt;=I68,"Pass","Fail"),IF(G68&lt;=I68,"Pass","Fail")))</f>
        <v/>
      </c>
      <c r="L68" s="2" t="s">
        <v>381</v>
      </c>
      <c r="M68" s="2" t="s">
        <v>432</v>
      </c>
    </row>
    <row r="69" customFormat="false" ht="24" hidden="false" customHeight="false" outlineLevel="0" collapsed="false">
      <c r="A69" s="2" t="s">
        <v>279</v>
      </c>
      <c r="B69" s="2" t="s">
        <v>266</v>
      </c>
      <c r="C69" s="2" t="s">
        <v>433</v>
      </c>
      <c r="D69" s="2" t="s">
        <v>418</v>
      </c>
      <c r="E69" s="2" t="s">
        <v>351</v>
      </c>
      <c r="F69" s="2" t="s">
        <v>288</v>
      </c>
      <c r="G69" s="8" t="n">
        <v>4</v>
      </c>
      <c r="H69" s="2"/>
      <c r="I69" s="8"/>
      <c r="J69" s="2" t="s">
        <v>256</v>
      </c>
      <c r="K69" s="2" t="str">
        <f aca="false">IF(OR(G69="",H69="",I69=""),"",IF(H69="&gt;=",IF(G69&gt;=I69,"Pass","Fail"),IF(G69&lt;=I69,"Pass","Fail")))</f>
        <v/>
      </c>
      <c r="L69" s="2" t="s">
        <v>378</v>
      </c>
      <c r="M69" s="2" t="s">
        <v>434</v>
      </c>
    </row>
    <row r="70" customFormat="false" ht="24" hidden="false" customHeight="false" outlineLevel="0" collapsed="false">
      <c r="A70" s="2" t="s">
        <v>279</v>
      </c>
      <c r="B70" s="2" t="s">
        <v>266</v>
      </c>
      <c r="C70" s="2" t="s">
        <v>435</v>
      </c>
      <c r="D70" s="2" t="s">
        <v>418</v>
      </c>
      <c r="E70" s="2" t="s">
        <v>351</v>
      </c>
      <c r="F70" s="2" t="s">
        <v>288</v>
      </c>
      <c r="G70" s="5"/>
      <c r="H70" s="2"/>
      <c r="I70" s="5"/>
      <c r="J70" s="2"/>
      <c r="K70" s="2" t="str">
        <f aca="false">IF(OR(G70="",H70="",I70=""),"",IF(H70="&gt;=",IF(G70&gt;=I70,"Pass","Fail"),IF(G70&lt;=I70,"Pass","Fail")))</f>
        <v/>
      </c>
      <c r="L70" s="2" t="s">
        <v>378</v>
      </c>
      <c r="M70" s="2" t="s">
        <v>436</v>
      </c>
    </row>
    <row r="71" customFormat="false" ht="24" hidden="false" customHeight="false" outlineLevel="0" collapsed="false">
      <c r="A71" s="2" t="s">
        <v>279</v>
      </c>
      <c r="B71" s="2" t="s">
        <v>266</v>
      </c>
      <c r="C71" s="2" t="s">
        <v>437</v>
      </c>
      <c r="D71" s="2" t="s">
        <v>359</v>
      </c>
      <c r="E71" s="2" t="s">
        <v>351</v>
      </c>
      <c r="F71" s="2" t="s">
        <v>311</v>
      </c>
      <c r="G71" s="5"/>
      <c r="H71" s="2"/>
      <c r="I71" s="5"/>
      <c r="J71" s="2"/>
      <c r="K71" s="2" t="str">
        <f aca="false">IF(OR(G71="",H71="",I71=""),"",IF(H71="&gt;=",IF(G71&gt;=I71,"Pass","Fail"),IF(G71&lt;=I71,"Pass","Fail")))</f>
        <v/>
      </c>
      <c r="L71" s="2" t="s">
        <v>355</v>
      </c>
      <c r="M71" s="2" t="s">
        <v>438</v>
      </c>
    </row>
  </sheetData>
  <autoFilter ref="A1:M71"/>
  <conditionalFormatting sqref="K2:K71">
    <cfRule type="expression" priority="2" aboveAverage="0" equalAverage="0" bottom="0" percent="0" rank="0" text="" dxfId="6">
      <formula>LEFT(K2,3)="Met"</formula>
    </cfRule>
    <cfRule type="expression" priority="3" aboveAverage="0" equalAverage="0" bottom="0" percent="0" rank="0" text="" dxfId="6">
      <formula>LEFT(K2,4)="Pass"</formula>
    </cfRule>
    <cfRule type="expression" priority="4" aboveAverage="0" equalAverage="0" bottom="0" percent="0" rank="0" text="" dxfId="6">
      <formula>LEFT(K2,6)="Active"</formula>
    </cfRule>
    <cfRule type="expression" priority="5" aboveAverage="0" equalAverage="0" bottom="0" percent="0" rank="0" text="" dxfId="6">
      <formula>LEFT(K2,4)="Kept"</formula>
    </cfRule>
    <cfRule type="expression" priority="6" aboveAverage="0" equalAverage="0" bottom="0" percent="0" rank="0" text="" dxfId="7">
      <formula>LEFT(K2,7)="Partial"</formula>
    </cfRule>
    <cfRule type="expression" priority="7" aboveAverage="0" equalAverage="0" bottom="0" percent="0" rank="0" text="" dxfId="7">
      <formula>LEFT(K2,4)="Open"</formula>
    </cfRule>
    <cfRule type="expression" priority="8" aboveAverage="0" equalAverage="0" bottom="0" percent="0" rank="0" text="" dxfId="7">
      <formula>LEFT(K2,8)="Marginal"</formula>
    </cfRule>
    <cfRule type="expression" priority="9" aboveAverage="0" equalAverage="0" bottom="0" percent="0" rank="0" text="" dxfId="7">
      <formula>LEFT(K2,7)="Revised"</formula>
    </cfRule>
    <cfRule type="expression" priority="10" aboveAverage="0" equalAverage="0" bottom="0" percent="0" rank="0" text="" dxfId="8">
      <formula>LEFT(K2,4)="Fail"</formula>
    </cfRule>
    <cfRule type="expression" priority="11" aboveAverage="0" equalAverage="0" bottom="0" percent="0" rank="0" text="" dxfId="8">
      <formula>LEFT(K2,8)="Not kept"</formula>
    </cfRule>
    <cfRule type="expression" priority="12" aboveAverage="0" equalAverage="0" bottom="0" percent="0" rank="0" text="" dxfId="9">
      <formula>LEFT(K2,10)="Superseded"</formula>
    </cfRule>
    <cfRule type="expression" priority="13" aboveAverage="0" equalAverage="0" bottom="0" percent="0" rank="0" text="" dxfId="9">
      <formula>LEFT(K2,9)="Not built"</formula>
    </cfRule>
    <cfRule type="expression" priority="14" aboveAverage="0" equalAverage="0" bottom="0" percent="0" rank="0" text="" dxfId="9">
      <formula>LEFT(K2,9)="Reference"</formula>
    </cfRule>
  </conditionalFormatting>
  <conditionalFormatting sqref="L2:L71">
    <cfRule type="expression" priority="15" aboveAverage="0" equalAverage="0" bottom="0" percent="0" rank="0" text="" dxfId="6">
      <formula>LEFT(L2,3)="Met"</formula>
    </cfRule>
    <cfRule type="expression" priority="16" aboveAverage="0" equalAverage="0" bottom="0" percent="0" rank="0" text="" dxfId="6">
      <formula>LEFT(L2,4)="Pass"</formula>
    </cfRule>
    <cfRule type="expression" priority="17" aboveAverage="0" equalAverage="0" bottom="0" percent="0" rank="0" text="" dxfId="6">
      <formula>LEFT(L2,6)="Active"</formula>
    </cfRule>
    <cfRule type="expression" priority="18" aboveAverage="0" equalAverage="0" bottom="0" percent="0" rank="0" text="" dxfId="6">
      <formula>LEFT(L2,4)="Kept"</formula>
    </cfRule>
    <cfRule type="expression" priority="19" aboveAverage="0" equalAverage="0" bottom="0" percent="0" rank="0" text="" dxfId="7">
      <formula>LEFT(L2,7)="Partial"</formula>
    </cfRule>
    <cfRule type="expression" priority="20" aboveAverage="0" equalAverage="0" bottom="0" percent="0" rank="0" text="" dxfId="7">
      <formula>LEFT(L2,4)="Open"</formula>
    </cfRule>
    <cfRule type="expression" priority="21" aboveAverage="0" equalAverage="0" bottom="0" percent="0" rank="0" text="" dxfId="7">
      <formula>LEFT(L2,8)="Marginal"</formula>
    </cfRule>
    <cfRule type="expression" priority="22" aboveAverage="0" equalAverage="0" bottom="0" percent="0" rank="0" text="" dxfId="7">
      <formula>LEFT(L2,7)="Revised"</formula>
    </cfRule>
    <cfRule type="expression" priority="23" aboveAverage="0" equalAverage="0" bottom="0" percent="0" rank="0" text="" dxfId="8">
      <formula>LEFT(L2,4)="Fail"</formula>
    </cfRule>
    <cfRule type="expression" priority="24" aboveAverage="0" equalAverage="0" bottom="0" percent="0" rank="0" text="" dxfId="8">
      <formula>LEFT(L2,8)="Not kept"</formula>
    </cfRule>
    <cfRule type="expression" priority="25" aboveAverage="0" equalAverage="0" bottom="0" percent="0" rank="0" text="" dxfId="9">
      <formula>LEFT(L2,10)="Superseded"</formula>
    </cfRule>
    <cfRule type="expression" priority="26" aboveAverage="0" equalAverage="0" bottom="0" percent="0" rank="0" text="" dxfId="9">
      <formula>LEFT(L2,9)="Not built"</formula>
    </cfRule>
    <cfRule type="expression" priority="27" aboveAverage="0" equalAverage="0" bottom="0" percent="0" rank="0" text="" dxfId="9">
      <formula>LEFT(L2,9)="Reference"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2026-10-14T12:15:36Z</dcterms:created>
  <dc:creator>openpyxl</dc:creator>
  <dc:description/>
  <dc:language>en-CA</dc:language>
  <cp:lastModifiedBy/>
  <dcterms:modified xsi:type="dcterms:W3CDTF">2026-10-14T12:15:36Z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