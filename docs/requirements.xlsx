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Validation gates" sheetId="3" state="visible" r:id="rId3"/>
    <sheet xmlns:r="http://schemas.openxmlformats.org/officeDocument/2006/relationships" name="Trial rules" sheetId="4" state="visible" r:id="rId4"/>
    <sheet xmlns:r="http://schemas.openxmlformats.org/officeDocument/2006/relationships" name="Results" sheetId="5" state="visible" r:id="rId5"/>
  </sheets>
  <definedNames>
    <definedName name="_xlnm._FilterDatabase" localSheetId="1" hidden="1">'Requirements'!$A$1:$F$66</definedName>
    <definedName name="_xlnm._FilterDatabase" localSheetId="2" hidden="1">'Validation gates'!$A$1:$J$25</definedName>
    <definedName name="_xlnm._FilterDatabase" localSheetId="3" hidden="1">'Trial rules'!$A$1:$C$18</definedName>
    <definedName name="_xlnm._FilterDatabase" localSheetId="4" hidden="1">'Results'!$A$1:$M$71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0"/>
    <numFmt numFmtId="165" formatCode="0.0%"/>
    <numFmt numFmtId="166" formatCode="\+0&quot; pts&quot;"/>
    <numFmt numFmtId="167" formatCode="\$0.00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9" fontId="6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166" fontId="6" fillId="0" borderId="1" applyAlignment="1" pivotButton="0" quotePrefix="0" xfId="0">
      <alignment horizontal="general" vertical="top" wrapText="1"/>
    </xf>
    <xf numFmtId="167" fontId="6" fillId="0" borderId="1" applyAlignment="1" pivotButton="0" quotePrefix="0" xfId="0">
      <alignment horizontal="general" vertical="top" wrapText="1"/>
    </xf>
    <xf numFmtId="2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9" fontId="6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166" fontId="6" fillId="0" borderId="1" applyAlignment="1" pivotButton="0" quotePrefix="0" xfId="0">
      <alignment horizontal="general" vertical="top" wrapText="1"/>
    </xf>
    <xf numFmtId="167" fontId="6" fillId="0" borderId="1" applyAlignment="1" pivotButton="0" quotePrefix="0" xfId="0">
      <alignment horizontal="general" vertical="top" wrapText="1"/>
    </xf>
    <xf numFmtId="2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DEDED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453125" defaultRowHeight="15" customHeight="0" zeroHeight="0" outlineLevelRow="0"/>
  <cols>
    <col width="18" customWidth="1" style="11" min="1" max="1"/>
    <col width="110" customWidth="1" style="11" min="2" max="2"/>
  </cols>
  <sheetData>
    <row r="1" ht="15" customHeight="1" s="12">
      <c r="A1" s="13" t="inlineStr">
        <is>
          <t>Sheet</t>
        </is>
      </c>
      <c r="B1" s="13" t="inlineStr">
        <is>
          <t>What it holds</t>
        </is>
      </c>
    </row>
    <row r="2" ht="15" customHeight="1" s="12">
      <c r="A2" s="15" t="inlineStr">
        <is>
          <t>Requirements</t>
        </is>
      </c>
      <c r="B2" s="15" t="inlineStr">
        <is>
          <t>What the product and the method must do, and the standing decisions that constrain them. Status is as of 2026-10-14.</t>
        </is>
      </c>
    </row>
    <row r="3" ht="24" customHeight="1" s="12">
      <c r="A3" s="15" t="inlineStr">
        <is>
          <t>Validation gates</t>
        </is>
      </c>
      <c r="B3" s="15" t="inlineStr">
        <is>
          <t>Every pass/fail bar set for a trial, with its definition and the reason for the bar. Bars were set before each run; later revisions are kept as separate rows.</t>
        </is>
      </c>
    </row>
    <row r="4" ht="15" customHeight="1" s="12">
      <c r="A4" s="15" t="inlineStr">
        <is>
          <t>Trial rules</t>
        </is>
      </c>
      <c r="B4" s="15" t="inlineStr">
        <is>
          <t>The rules each trial set for itself against fitting: what may be tuned, when to stop, who labels.</t>
        </is>
      </c>
    </row>
    <row r="5" ht="24" customHeight="1" s="12">
      <c r="A5" s="15" t="inlineStr">
        <is>
          <t>Results</t>
        </is>
      </c>
      <c r="B5" s="15" t="inlineStr">
        <is>
          <t>Every gated measurement against its bar. 'Meets bar' is a formula over Value, Comparator and Bar; 'Verdict as recorded' is what the trial log concluded (which also weighs in-sample status, noise and gates not measured).</t>
        </is>
      </c>
    </row>
    <row r="6" ht="15" customHeight="1" s="12">
      <c r="A6" s="15" t="n"/>
      <c r="B6" s="15" t="n"/>
    </row>
    <row r="7" ht="24" customHeight="1" s="12">
      <c r="A7" s="15" t="inlineStr">
        <is>
          <t>Sources</t>
        </is>
      </c>
      <c r="B7" s="15" t="inlineStr">
        <is>
          <t>docs/Project.md (goals, platform, config), docs/report-design.md (D1–D17), trials/llm-trials.md (decisions, gates, results), project memory (working rules).</t>
        </is>
      </c>
    </row>
    <row r="8" ht="15" customHeight="1" s="12">
      <c r="A8" s="15" t="inlineStr">
        <is>
          <t>Units</t>
        </is>
      </c>
      <c r="B8" s="15" t="inlineStr">
        <is>
          <t>Percentages are stored as fractions (0.6 shows as 60%). 'pts' are percentage points.</t>
        </is>
      </c>
    </row>
    <row r="9" ht="24" customHeight="1" s="12">
      <c r="A9" s="15" t="inlineStr">
        <is>
          <t>Slices</t>
        </is>
      </c>
      <c r="B9" s="15" t="inlineStr">
        <is>
          <t>V1 = newest 100 reviews (2026-08-20 → 09-22), in-sample. V2 = 100 random from Feb 2026, held out. V3 = 100 random from Oct 2024, held out. Dev window = 4 months ending 2026-09-22.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453125" defaultRowHeight="15" customHeight="0" zeroHeight="0" outlineLevelRow="0"/>
  <cols>
    <col width="7" customWidth="1" style="11" min="1" max="1"/>
    <col width="18" customWidth="1" style="11" min="2" max="2"/>
    <col width="70" customWidth="1" style="11" min="3" max="3"/>
    <col width="30" customWidth="1" style="11" min="4" max="4"/>
    <col width="12" customWidth="1" style="11" min="5" max="5"/>
    <col width="50" customWidth="1" style="11" min="6" max="6"/>
  </cols>
  <sheetData>
    <row r="1" ht="15" customHeight="1" s="12">
      <c r="A1" s="13" t="inlineStr">
        <is>
          <t>ID</t>
        </is>
      </c>
      <c r="B1" s="13" t="inlineStr">
        <is>
          <t>Group</t>
        </is>
      </c>
      <c r="C1" s="13" t="inlineStr">
        <is>
          <t>Requirement</t>
        </is>
      </c>
      <c r="D1" s="13" t="inlineStr">
        <is>
          <t>Source</t>
        </is>
      </c>
      <c r="E1" s="13" t="inlineStr">
        <is>
          <t>Status</t>
        </is>
      </c>
      <c r="F1" s="13" t="inlineStr">
        <is>
          <t>Notes</t>
        </is>
      </c>
    </row>
    <row r="2" ht="24" customHeight="1" s="12">
      <c r="A2" s="15" t="inlineStr">
        <is>
          <t>R01</t>
        </is>
      </c>
      <c r="B2" s="15" t="inlineStr">
        <is>
          <t>Product goal</t>
        </is>
      </c>
      <c r="C2" s="15" t="inlineStr">
        <is>
          <t>One command takes an app ID and produces a Confluence-ready dashboard.</t>
        </is>
      </c>
      <c r="D2" s="15" t="inlineStr">
        <is>
          <t>docs/Project.md §1</t>
        </is>
      </c>
      <c r="E2" s="15" t="inlineStr">
        <is>
          <t>Partial</t>
        </is>
      </c>
      <c r="F2" s="15" t="inlineStr">
        <is>
          <t>pv run builds the data; pv report --publish is not yet wired into pv run.</t>
        </is>
      </c>
    </row>
    <row r="3" ht="24" customHeight="1" s="12">
      <c r="A3" s="15" t="inlineStr">
        <is>
          <t>R02</t>
        </is>
      </c>
      <c r="B3" s="15" t="inlineStr">
        <is>
          <t>Product goal</t>
        </is>
      </c>
      <c r="C3" s="15" t="inlineStr">
        <is>
          <t>Runs unmodified on Linux, macOS and Windows.</t>
        </is>
      </c>
      <c r="D3" s="15" t="inlineStr">
        <is>
          <t>docs/Project.md §1</t>
        </is>
      </c>
      <c r="E3" s="15" t="inlineStr">
        <is>
          <t>Partial</t>
        </is>
      </c>
      <c r="F3" s="15" t="inlineStr">
        <is>
          <t>Developed on Windows, container verified 2026-09-29; no CI matrix yet.</t>
        </is>
      </c>
    </row>
    <row r="4" ht="35" customHeight="1" s="12">
      <c r="A4" s="15" t="inlineStr">
        <is>
          <t>R03</t>
        </is>
      </c>
      <c r="B4" s="15" t="inlineStr">
        <is>
          <t>Product goal</t>
        </is>
      </c>
      <c r="C4" s="15" t="inlineStr">
        <is>
          <t>Issues are semantic, not keyword buckets: different wordings of one problem land together, and reviews are grouped by what they are about, not how they sound.</t>
        </is>
      </c>
      <c r="D4" s="15" t="inlineStr">
        <is>
          <t>docs/Project.md §1; trials/llm-trials.md Why</t>
        </is>
      </c>
      <c r="E4" s="15" t="inlineStr">
        <is>
          <t>Superseded</t>
        </is>
      </c>
      <c r="F4" s="15" t="inlineStr">
        <is>
          <t>Embedding clustering failed this (tone clusters). pv issues passed on validated slices but failed the port check: results depend on input order. Superseded 2026-10-22 (report-design.md §9): topics are fixed and given; reviews are matched to them (D18).</t>
        </is>
      </c>
    </row>
    <row r="5" ht="24" customHeight="1" s="12">
      <c r="A5" s="15" t="inlineStr">
        <is>
          <t>R04</t>
        </is>
      </c>
      <c r="B5" s="15" t="inlineStr">
        <is>
          <t>Product goal</t>
        </is>
      </c>
      <c r="C5" s="15" t="inlineStr">
        <is>
          <t>Every issue is traceable to the individual reviews behind it (exact quotes with review ids).</t>
        </is>
      </c>
      <c r="D5" s="15" t="inlineStr">
        <is>
          <t>docs/Project.md §1</t>
        </is>
      </c>
      <c r="E5" s="15" t="inlineStr">
        <is>
          <t>Met</t>
        </is>
      </c>
      <c r="F5" s="15" t="inlineStr">
        <is>
          <t>Gate G1 (quotes exact ≥ 98%).</t>
        </is>
      </c>
    </row>
    <row r="6" ht="15" customHeight="1" s="12">
      <c r="A6" s="15" t="inlineStr">
        <is>
          <t>R05</t>
        </is>
      </c>
      <c r="B6" s="15" t="inlineStr">
        <is>
          <t>Product goal</t>
        </is>
      </c>
      <c r="C6" s="15" t="inlineStr">
        <is>
          <t>Incremental: re-running fetches only new reviews and updates the dashboard.</t>
        </is>
      </c>
      <c r="D6" s="15" t="inlineStr">
        <is>
          <t>docs/Project.md §1</t>
        </is>
      </c>
      <c r="E6" s="15" t="inlineStr">
        <is>
          <t>Met</t>
        </is>
      </c>
      <c r="F6" s="15" t="inlineStr">
        <is>
          <t>pv fetch tops up and resumes.</t>
        </is>
      </c>
    </row>
    <row r="7" ht="15" customHeight="1" s="12">
      <c r="A7" s="15" t="inlineStr">
        <is>
          <t>R06</t>
        </is>
      </c>
      <c r="B7" s="15" t="inlineStr">
        <is>
          <t>Product goal</t>
        </is>
      </c>
      <c r="C7" s="15" t="inlineStr">
        <is>
          <t>Ingestion is one swappable module, so an internal feed can replace the Play Store.</t>
        </is>
      </c>
      <c r="D7" s="15" t="inlineStr">
        <is>
          <t>docs/Project.md §1</t>
        </is>
      </c>
      <c r="E7" s="15" t="inlineStr">
        <is>
          <t>Met</t>
        </is>
      </c>
      <c r="F7" s="15" t="inlineStr">
        <is>
          <t>ReviewSource protocol in ingest/base.py.</t>
        </is>
      </c>
    </row>
    <row r="8" ht="35" customHeight="1" s="12">
      <c r="A8" s="15" t="inlineStr">
        <is>
          <t>R07</t>
        </is>
      </c>
      <c r="B8" s="15" t="inlineStr">
        <is>
          <t>Success criterion</t>
        </is>
      </c>
      <c r="C8" s="15" t="inlineStr">
        <is>
          <t>A product team member opens the Confluence page and within about a minute can name the top 10 things users are unhappy about this period, how each is trending, with enough example reviews to trust each label.</t>
        </is>
      </c>
      <c r="D8" s="15" t="inlineStr">
        <is>
          <t>docs/Project.md §1</t>
        </is>
      </c>
      <c r="E8" s="15" t="inlineStr">
        <is>
          <t>Open</t>
        </is>
      </c>
      <c r="F8" s="15" t="inlineStr">
        <is>
          <t>Depends on R03.</t>
        </is>
      </c>
    </row>
    <row r="9" ht="24" customHeight="1" s="12">
      <c r="A9" s="15" t="inlineStr">
        <is>
          <t>N01</t>
        </is>
      </c>
      <c r="B9" s="15" t="inlineStr">
        <is>
          <t>Non-goal (demo)</t>
        </is>
      </c>
      <c r="C9" s="15" t="inlineStr">
        <is>
          <t>No hosted service, scheduler daemon or auth system; scheduling is cron / Task Scheduler / manual.</t>
        </is>
      </c>
      <c r="D9" s="15" t="inlineStr">
        <is>
          <t>docs/Project.md §1</t>
        </is>
      </c>
      <c r="E9" s="15" t="inlineStr">
        <is>
          <t>Superseded</t>
        </is>
      </c>
      <c r="F9" s="15" t="inlineStr">
        <is>
          <t>Superseded 2026-10-22 (report-design.md §9): the application runs in containers with a scheduler (D22).</t>
        </is>
      </c>
    </row>
    <row r="10" ht="15" customHeight="1" s="12">
      <c r="A10" s="15" t="inlineStr">
        <is>
          <t>N02</t>
        </is>
      </c>
      <c r="B10" s="15" t="inlineStr">
        <is>
          <t>Non-goal (demo)</t>
        </is>
      </c>
      <c r="C10" s="15" t="inlineStr">
        <is>
          <t>No multi-app tenancy, no iOS App Store, no per-user accounts.</t>
        </is>
      </c>
      <c r="D10" s="15" t="inlineStr">
        <is>
          <t>docs/Project.md §1</t>
        </is>
      </c>
      <c r="E10" s="15" t="inlineStr">
        <is>
          <t>Met</t>
        </is>
      </c>
      <c r="F10" s="15" t="n"/>
    </row>
    <row r="11" ht="15" customHeight="1" s="12">
      <c r="A11" s="15" t="inlineStr">
        <is>
          <t>N03</t>
        </is>
      </c>
      <c r="B11" s="15" t="inlineStr">
        <is>
          <t>Non-goal (demo)</t>
        </is>
      </c>
      <c r="C11" s="15" t="inlineStr">
        <is>
          <t>No fine-tuned or custom-trained models.</t>
        </is>
      </c>
      <c r="D11" s="15" t="inlineStr">
        <is>
          <t>docs/Project.md §1</t>
        </is>
      </c>
      <c r="E11" s="15" t="inlineStr">
        <is>
          <t>Met</t>
        </is>
      </c>
      <c r="F11" s="15" t="n"/>
    </row>
    <row r="12" ht="15" customHeight="1" s="12">
      <c r="A12" s="15" t="inlineStr">
        <is>
          <t>N04</t>
        </is>
      </c>
      <c r="B12" s="15" t="inlineStr">
        <is>
          <t>Non-goal (demo)</t>
        </is>
      </c>
      <c r="C12" s="15" t="inlineStr">
        <is>
          <t>No write-back to Jira or ticket creation.</t>
        </is>
      </c>
      <c r="D12" s="15" t="inlineStr">
        <is>
          <t>docs/Project.md §1</t>
        </is>
      </c>
      <c r="E12" s="15" t="inlineStr">
        <is>
          <t>Met</t>
        </is>
      </c>
      <c r="F12" s="15" t="n"/>
    </row>
    <row r="13" ht="15" customHeight="1" s="12">
      <c r="A13" s="15" t="inlineStr">
        <is>
          <t>R10</t>
        </is>
      </c>
      <c r="B13" s="15" t="inlineStr">
        <is>
          <t>Cross-platform</t>
        </is>
      </c>
      <c r="C13" s="15" t="inlineStr">
        <is>
          <t>Pure Python: no shell-outs, no platform-specific binaries.</t>
        </is>
      </c>
      <c r="D13" s="15" t="inlineStr">
        <is>
          <t>docs/Project.md §4</t>
        </is>
      </c>
      <c r="E13" s="15" t="inlineStr">
        <is>
          <t>Met</t>
        </is>
      </c>
      <c r="F13" s="15" t="n"/>
    </row>
    <row r="14" ht="15" customHeight="1" s="12">
      <c r="A14" s="15" t="inlineStr">
        <is>
          <t>R11</t>
        </is>
      </c>
      <c r="B14" s="15" t="inlineStr">
        <is>
          <t>Cross-platform</t>
        </is>
      </c>
      <c r="C14" s="15" t="inlineStr">
        <is>
          <t>pathlib everywhere; never string-concatenate paths.</t>
        </is>
      </c>
      <c r="D14" s="15" t="inlineStr">
        <is>
          <t>docs/Project.md §4</t>
        </is>
      </c>
      <c r="E14" s="15" t="inlineStr">
        <is>
          <t>Met</t>
        </is>
      </c>
      <c r="F14" s="15" t="n"/>
    </row>
    <row r="15" ht="15" customHeight="1" s="12">
      <c r="A15" s="15" t="inlineStr">
        <is>
          <t>R12</t>
        </is>
      </c>
      <c r="B15" s="15" t="inlineStr">
        <is>
          <t>Cross-platform</t>
        </is>
      </c>
      <c r="C15" s="15" t="inlineStr">
        <is>
          <t>Explicit encoding='utf-8' on every file open.</t>
        </is>
      </c>
      <c r="D15" s="15" t="inlineStr">
        <is>
          <t>docs/Project.md §4</t>
        </is>
      </c>
      <c r="E15" s="15" t="inlineStr">
        <is>
          <t>Met</t>
        </is>
      </c>
      <c r="F15" s="15" t="n"/>
    </row>
    <row r="16" ht="15" customHeight="1" s="12">
      <c r="A16" s="15" t="inlineStr">
        <is>
          <t>R13</t>
        </is>
      </c>
      <c r="B16" s="15" t="inlineStr">
        <is>
          <t>Cross-platform</t>
        </is>
      </c>
      <c r="C16" s="15" t="inlineStr">
        <is>
          <t>Timestamps stored as UTC ISO-8601; converted to local only at render time.</t>
        </is>
      </c>
      <c r="D16" s="15" t="inlineStr">
        <is>
          <t>docs/Project.md §4</t>
        </is>
      </c>
      <c r="E16" s="15" t="inlineStr">
        <is>
          <t>Met</t>
        </is>
      </c>
      <c r="F16" s="15" t="n"/>
    </row>
    <row r="17" ht="15" customHeight="1" s="12">
      <c r="A17" s="15" t="inlineStr">
        <is>
          <t>R14</t>
        </is>
      </c>
      <c r="B17" s="15" t="inlineStr">
        <is>
          <t>Cross-platform</t>
        </is>
      </c>
      <c r="C17" s="15" t="inlineStr">
        <is>
          <t>Model and data caches under platformdirs.user_cache_dir(), not ~/.cache.</t>
        </is>
      </c>
      <c r="D17" s="15" t="inlineStr">
        <is>
          <t>docs/Project.md §4</t>
        </is>
      </c>
      <c r="E17" s="15" t="inlineStr">
        <is>
          <t>Met</t>
        </is>
      </c>
      <c r="F17" s="15" t="n"/>
    </row>
    <row r="18" ht="15" customHeight="1" s="12">
      <c r="A18" s="15" t="inlineStr">
        <is>
          <t>R15</t>
        </is>
      </c>
      <c r="B18" s="15" t="inlineStr">
        <is>
          <t>Cross-platform</t>
        </is>
      </c>
      <c r="C18" s="15" t="inlineStr">
        <is>
          <t>No symlinks, no case-sensitive path assumptions.</t>
        </is>
      </c>
      <c r="D18" s="15" t="inlineStr">
        <is>
          <t>docs/Project.md §4</t>
        </is>
      </c>
      <c r="E18" s="15" t="inlineStr">
        <is>
          <t>Met</t>
        </is>
      </c>
      <c r="F18" s="15" t="n"/>
    </row>
    <row r="19" ht="15" customHeight="1" s="12">
      <c r="A19" s="15" t="inlineStr">
        <is>
          <t>R16</t>
        </is>
      </c>
      <c r="B19" s="15" t="inlineStr">
        <is>
          <t>Cross-platform</t>
        </is>
      </c>
      <c r="C19" s="15" t="inlineStr">
        <is>
          <t>pip install -e . from pyproject.toml; uv documented as the fast path.</t>
        </is>
      </c>
      <c r="D19" s="15" t="inlineStr">
        <is>
          <t>docs/Project.md §4</t>
        </is>
      </c>
      <c r="E19" s="15" t="inlineStr">
        <is>
          <t>Met</t>
        </is>
      </c>
      <c r="F19" s="15" t="n"/>
    </row>
    <row r="20" ht="15" customHeight="1" s="12">
      <c r="A20" s="15" t="inlineStr">
        <is>
          <t>R17</t>
        </is>
      </c>
      <c r="B20" s="15" t="inlineStr">
        <is>
          <t>Cross-platform</t>
        </is>
      </c>
      <c r="C20" s="15" t="inlineStr">
        <is>
          <t>CI matrix across all three OSes once there is anything to test.</t>
        </is>
      </c>
      <c r="D20" s="15" t="inlineStr">
        <is>
          <t>docs/Project.md §4</t>
        </is>
      </c>
      <c r="E20" s="15" t="inlineStr">
        <is>
          <t>Open</t>
        </is>
      </c>
      <c r="F20" s="15" t="inlineStr">
        <is>
          <t>No test suite yet (milestone 6).</t>
        </is>
      </c>
    </row>
    <row r="21" ht="15" customHeight="1" s="12">
      <c r="A21" s="15" t="inlineStr">
        <is>
          <t>R20</t>
        </is>
      </c>
      <c r="B21" s="15" t="inlineStr">
        <is>
          <t>Configuration</t>
        </is>
      </c>
      <c r="C21" s="15" t="inlineStr">
        <is>
          <t>Precedence: command-line flag &gt; config.yaml &gt; built-in default.</t>
        </is>
      </c>
      <c r="D21" s="15" t="inlineStr">
        <is>
          <t>docs/Project.md §5</t>
        </is>
      </c>
      <c r="E21" s="15" t="inlineStr">
        <is>
          <t>Met</t>
        </is>
      </c>
      <c r="F21" s="15" t="n"/>
    </row>
    <row r="22" ht="15" customHeight="1" s="12">
      <c r="A22" s="15" t="inlineStr">
        <is>
          <t>R21</t>
        </is>
      </c>
      <c r="B22" s="15" t="inlineStr">
        <is>
          <t>Configuration</t>
        </is>
      </c>
      <c r="C22" s="15" t="inlineStr">
        <is>
          <t>Unknown config keys are an error, not ignored.</t>
        </is>
      </c>
      <c r="D22" s="15" t="inlineStr">
        <is>
          <t>docs/Project.md §5</t>
        </is>
      </c>
      <c r="E22" s="15" t="inlineStr">
        <is>
          <t>Met</t>
        </is>
      </c>
      <c r="F22" s="15" t="n"/>
    </row>
    <row r="23" ht="15" customHeight="1" s="12">
      <c r="A23" s="15" t="inlineStr">
        <is>
          <t>R22</t>
        </is>
      </c>
      <c r="B23" s="15" t="inlineStr">
        <is>
          <t>Configuration</t>
        </is>
      </c>
      <c r="C23" s="15" t="inlineStr">
        <is>
          <t>Secrets only in environment variables or a gitignored .env.</t>
        </is>
      </c>
      <c r="D23" s="15" t="inlineStr">
        <is>
          <t>docs/Project.md §5</t>
        </is>
      </c>
      <c r="E23" s="15" t="inlineStr">
        <is>
          <t>Met</t>
        </is>
      </c>
      <c r="F23" s="15" t="n"/>
    </row>
    <row r="24" ht="24" customHeight="1" s="12">
      <c r="A24" s="15" t="inlineStr">
        <is>
          <t>R23</t>
        </is>
      </c>
      <c r="B24" s="15" t="inlineStr">
        <is>
          <t>Configuration</t>
        </is>
      </c>
      <c r="C24" s="15" t="inlineStr">
        <is>
          <t>One corpus.min_chars shared by every stage, so stages cannot disagree on which reviews count.</t>
        </is>
      </c>
      <c r="D24" s="15" t="inlineStr">
        <is>
          <t>docs/Project.md §5</t>
        </is>
      </c>
      <c r="E24" s="15" t="inlineStr">
        <is>
          <t>Met</t>
        </is>
      </c>
      <c r="F24" s="15" t="n"/>
    </row>
    <row r="25" ht="24" customHeight="1" s="12">
      <c r="A25" s="15" t="inlineStr">
        <is>
          <t>R30</t>
        </is>
      </c>
      <c r="B25" s="15" t="inlineStr">
        <is>
          <t>Model &amp; compliance</t>
        </is>
      </c>
      <c r="C25" s="15" t="inlineStr">
        <is>
          <t>Review text never leaves the machine: the model runs locally.</t>
        </is>
      </c>
      <c r="D25" s="15" t="inlineStr">
        <is>
          <t>trials/llm-trials.md decision 1</t>
        </is>
      </c>
      <c r="E25" s="15" t="inlineStr">
        <is>
          <t>Met</t>
        </is>
      </c>
      <c r="F25" s="15" t="inlineStr">
        <is>
          <t>Sending text to OpenAI needs sign-off; done once for the $2 / $1 checks on the user's go-ahead.</t>
        </is>
      </c>
    </row>
    <row r="26" ht="24" customHeight="1" s="12">
      <c r="A26" s="15" t="inlineStr">
        <is>
          <t>R31</t>
        </is>
      </c>
      <c r="B26" s="15" t="inlineStr">
        <is>
          <t>Model &amp; compliance</t>
        </is>
      </c>
      <c r="C26" s="15" t="inlineStr">
        <is>
          <t>Model: Qwen3.5 9B through Ollama, local. Gemma 4 12B is the fallback if a Chinese-origin model is ruled out. The provider is a setting.</t>
        </is>
      </c>
      <c r="D26" s="15" t="inlineStr">
        <is>
          <t>trials/llm-trials.md decisions 2, 7 (reversed 2026-10-14)</t>
        </is>
      </c>
      <c r="E26" s="15" t="inlineStr">
        <is>
          <t>Met</t>
        </is>
      </c>
      <c r="F26" s="15" t="inlineStr">
        <is>
          <t>GPT-5.4 nano/mini failed the gates; openai stays as a setting.</t>
        </is>
      </c>
    </row>
    <row r="27" ht="24" customHeight="1" s="12">
      <c r="A27" s="15" t="inlineStr">
        <is>
          <t>R32</t>
        </is>
      </c>
      <c r="B27" s="15" t="inlineStr">
        <is>
          <t>Model &amp; compliance</t>
        </is>
      </c>
      <c r="C27" s="15" t="inlineStr">
        <is>
          <t>Every model call: temperature 0, seed 0, thinking off, JSON schema output; every call cached.</t>
        </is>
      </c>
      <c r="D27" s="15" t="inlineStr">
        <is>
          <t>trials/llm-trials.md decision 3</t>
        </is>
      </c>
      <c r="E27" s="15" t="inlineStr">
        <is>
          <t>Met</t>
        </is>
      </c>
      <c r="F27" s="15" t="inlineStr">
        <is>
          <t>OpenAI models take no temperature or seed, so their answers vary between runs.</t>
        </is>
      </c>
    </row>
    <row r="28" ht="24" customHeight="1" s="12">
      <c r="A28" s="15" t="inlineStr">
        <is>
          <t>R33</t>
        </is>
      </c>
      <c r="B28" s="15" t="inlineStr">
        <is>
          <t>Model &amp; compliance</t>
        </is>
      </c>
      <c r="C28" s="15" t="inlineStr">
        <is>
          <t>No app-specific curation: hand labels only for categories that apply to any app; issue names come from the data.</t>
        </is>
      </c>
      <c r="D28" s="15" t="inlineStr">
        <is>
          <t>trials/llm-trials.md decision 4</t>
        </is>
      </c>
      <c r="E28" s="15" t="inlineStr">
        <is>
          <t>Superseded</t>
        </is>
      </c>
      <c r="F28" s="15" t="inlineStr">
        <is>
          <t>Relaxed for the pilot: issue-list corrections and an AI proofread are allowed. Superseded 2026-10-22 (report-design.md §9): topics are app-specific by design (D18, D19).</t>
        </is>
      </c>
    </row>
    <row r="29" ht="24" customHeight="1" s="12">
      <c r="A29" s="15" t="inlineStr">
        <is>
          <t>R34</t>
        </is>
      </c>
      <c r="B29" s="15" t="inlineStr">
        <is>
          <t>Model &amp; compliance</t>
        </is>
      </c>
      <c r="C29" s="15" t="inlineStr">
        <is>
          <t>Align the method with published work (LLooM; TopicGPT and BERTopic for codebook and persistence) rather than invent one.</t>
        </is>
      </c>
      <c r="D29" s="15" t="inlineStr">
        <is>
          <t>trials/llm-trials.md decision 6</t>
        </is>
      </c>
      <c r="E29" s="15" t="inlineStr">
        <is>
          <t>Met</t>
        </is>
      </c>
      <c r="F29" s="15" t="n"/>
    </row>
    <row r="30" ht="15" customHeight="1" s="12">
      <c r="A30" s="15" t="inlineStr">
        <is>
          <t>R35</t>
        </is>
      </c>
      <c r="B30" s="15" t="inlineStr">
        <is>
          <t>Model &amp; compliance</t>
        </is>
      </c>
      <c r="C30" s="15" t="inlineStr">
        <is>
          <t>All report numbers are deterministic, and the report must still work without the model.</t>
        </is>
      </c>
      <c r="D30" s="15" t="inlineStr">
        <is>
          <t>docs/report-design.md D6</t>
        </is>
      </c>
      <c r="E30" s="15" t="inlineStr">
        <is>
          <t>Partial</t>
        </is>
      </c>
      <c r="F30" s="15" t="inlineStr">
        <is>
          <t>Issue grouping now depends on the model.</t>
        </is>
      </c>
    </row>
    <row r="31" ht="24" customHeight="1" s="12">
      <c r="A31" s="15" t="inlineStr">
        <is>
          <t>R40</t>
        </is>
      </c>
      <c r="B31" s="15" t="inlineStr">
        <is>
          <t>Scope</t>
        </is>
      </c>
      <c r="C31" s="15" t="inlineStr">
        <is>
          <t>Proof of concept for the method, not an operation: stale data (last fetch 2026-09-23), no Spanish translation and no tests are accepted.</t>
        </is>
      </c>
      <c r="D31" s="15" t="inlineStr">
        <is>
          <t>trials/llm-trials.md decision 5</t>
        </is>
      </c>
      <c r="E31" s="15" t="inlineStr">
        <is>
          <t>Met</t>
        </is>
      </c>
      <c r="F31" s="15" t="n"/>
    </row>
    <row r="32" ht="35" customHeight="1" s="12">
      <c r="A32" s="15" t="inlineStr">
        <is>
          <t>R41</t>
        </is>
      </c>
      <c r="B32" s="15" t="inlineStr">
        <is>
          <t>Scope</t>
        </is>
      </c>
      <c r="C32" s="15" t="inlineStr">
        <is>
          <t>Demo standard: pv issues on local Qwen over a 4-month window, complaints only; 'usual' = mean of 3 periods; per-issue heatmap only over the issue window; review-count trend keeps 12 periods.</t>
        </is>
      </c>
      <c r="D32" s="15" t="inlineStr">
        <is>
          <t>docs/report-design.md D17</t>
        </is>
      </c>
      <c r="E32" s="15" t="inlineStr">
        <is>
          <t>Open</t>
        </is>
      </c>
      <c r="F32" s="15" t="inlineStr">
        <is>
          <t>Not started: the port check failed first.</t>
        </is>
      </c>
    </row>
    <row r="33" ht="15" customHeight="1" s="12">
      <c r="A33" s="15" t="inlineStr">
        <is>
          <t>R42</t>
        </is>
      </c>
      <c r="B33" s="15" t="inlineStr">
        <is>
          <t>Scope</t>
        </is>
      </c>
      <c r="C33" s="15" t="inlineStr">
        <is>
          <t>Positive and negative reviews handled separately.</t>
        </is>
      </c>
      <c r="D33" s="15" t="inlineStr">
        <is>
          <t>docs/Project.md §0 decision 2</t>
        </is>
      </c>
      <c r="E33" s="15" t="inlineStr">
        <is>
          <t>Met</t>
        </is>
      </c>
      <c r="F33" s="15" t="inlineStr">
        <is>
          <t>Praise issues left out of the demo (D17).</t>
        </is>
      </c>
    </row>
    <row r="34" ht="15" customHeight="1" s="12">
      <c r="A34" s="15" t="inlineStr">
        <is>
          <t>R43</t>
        </is>
      </c>
      <c r="B34" s="15" t="inlineStr">
        <is>
          <t>Scope</t>
        </is>
      </c>
      <c r="C34" s="15" t="inlineStr">
        <is>
          <t>Translate French to English, so quotes are readable by an English-speaking PM.</t>
        </is>
      </c>
      <c r="D34" s="15" t="inlineStr">
        <is>
          <t>docs/Project.md §0 decision 4</t>
        </is>
      </c>
      <c r="E34" s="15" t="inlineStr">
        <is>
          <t>Met</t>
        </is>
      </c>
      <c r="F34" s="15" t="n"/>
    </row>
    <row r="35" ht="24" customHeight="1" s="12">
      <c r="A35" s="15" t="inlineStr">
        <is>
          <t>R50</t>
        </is>
      </c>
      <c r="B35" s="15" t="inlineStr">
        <is>
          <t>Report</t>
        </is>
      </c>
      <c r="C35" s="15" t="inlineStr">
        <is>
          <t>Primary readers are the review analysts; the report gives them evidence, it does not replace them. Role views for PMs, Engineering/QA, Support/CX.</t>
        </is>
      </c>
      <c r="D35" s="15" t="inlineStr">
        <is>
          <t>docs/report-design.md §1</t>
        </is>
      </c>
      <c r="E35" s="15" t="inlineStr">
        <is>
          <t>Met</t>
        </is>
      </c>
      <c r="F35" s="15" t="n"/>
    </row>
    <row r="36" ht="24" customHeight="1" s="12">
      <c r="A36" s="15" t="inlineStr">
        <is>
          <t>R51</t>
        </is>
      </c>
      <c r="B36" s="15" t="inlineStr">
        <is>
          <t>Report</t>
        </is>
      </c>
      <c r="C36" s="15" t="inlineStr">
        <is>
          <t>Page text is written for the product team reading cold: no tool, pipeline or statistics terms.</t>
        </is>
      </c>
      <c r="D36" s="15" t="inlineStr">
        <is>
          <t>Project memory</t>
        </is>
      </c>
      <c r="E36" s="15" t="inlineStr">
        <is>
          <t>Met</t>
        </is>
      </c>
      <c r="F36" s="15" t="n"/>
    </row>
    <row r="37" ht="15" customHeight="1" s="12">
      <c r="A37" s="15" t="inlineStr">
        <is>
          <t>D1</t>
        </is>
      </c>
      <c r="B37" s="15" t="inlineStr">
        <is>
          <t>Report</t>
        </is>
      </c>
      <c r="C37" s="15" t="inlineStr">
        <is>
          <t>pv report emits Confluence storage format, not HTML.</t>
        </is>
      </c>
      <c r="D37" s="15" t="inlineStr">
        <is>
          <t>docs/report-design.md</t>
        </is>
      </c>
      <c r="E37" s="15" t="inlineStr">
        <is>
          <t>Met</t>
        </is>
      </c>
      <c r="F37" s="15" t="n"/>
    </row>
    <row r="38" ht="15" customHeight="1" s="12">
      <c r="A38" s="15" t="inlineStr">
        <is>
          <t>D2</t>
        </is>
      </c>
      <c r="B38" s="15" t="inlineStr">
        <is>
          <t>Report</t>
        </is>
      </c>
      <c r="C38" s="15" t="inlineStr">
        <is>
          <t>Charts are SVGs we design, uploaded as attachments; the chart macro is not used.</t>
        </is>
      </c>
      <c r="D38" s="15" t="inlineStr">
        <is>
          <t>docs/report-design.md</t>
        </is>
      </c>
      <c r="E38" s="15" t="inlineStr">
        <is>
          <t>Met</t>
        </is>
      </c>
      <c r="F38" s="15" t="n"/>
    </row>
    <row r="39" ht="15" customHeight="1" s="12">
      <c r="A39" s="15" t="inlineStr">
        <is>
          <t>D3</t>
        </is>
      </c>
      <c r="B39" s="15" t="inlineStr">
        <is>
          <t>Report</t>
        </is>
      </c>
      <c r="C39" s="15" t="inlineStr">
        <is>
          <t>Full-width pages.</t>
        </is>
      </c>
      <c r="D39" s="15" t="inlineStr">
        <is>
          <t>docs/report-design.md</t>
        </is>
      </c>
      <c r="E39" s="15" t="inlineStr">
        <is>
          <t>Met</t>
        </is>
      </c>
      <c r="F39" s="15" t="n"/>
    </row>
    <row r="40" ht="15" customHeight="1" s="12">
      <c r="A40" s="15" t="inlineStr">
        <is>
          <t>D4</t>
        </is>
      </c>
      <c r="B40" s="15" t="inlineStr">
        <is>
          <t>Report</t>
        </is>
      </c>
      <c r="C40" s="15" t="inlineStr">
        <is>
          <t>Page tree per run: hub (analyst view), role pages; issue pages deferred.</t>
        </is>
      </c>
      <c r="D40" s="15" t="inlineStr">
        <is>
          <t>docs/report-design.md</t>
        </is>
      </c>
      <c r="E40" s="15" t="inlineStr">
        <is>
          <t>Partial</t>
        </is>
      </c>
      <c r="F40" s="15" t="inlineStr">
        <is>
          <t>Issue pages not built.</t>
        </is>
      </c>
    </row>
    <row r="41" ht="15" customHeight="1" s="12">
      <c r="A41" s="15" t="inlineStr">
        <is>
          <t>D5</t>
        </is>
      </c>
      <c r="B41" s="15" t="inlineStr">
        <is>
          <t>Report</t>
        </is>
      </c>
      <c r="C41" s="15" t="inlineStr">
        <is>
          <t>Shared sections via excerpt / excerpt-include.</t>
        </is>
      </c>
      <c r="D41" s="15" t="inlineStr">
        <is>
          <t>docs/report-design.md</t>
        </is>
      </c>
      <c r="E41" s="15" t="inlineStr">
        <is>
          <t>Open</t>
        </is>
      </c>
      <c r="F41" s="15" t="inlineStr">
        <is>
          <t>excerpt-include across pages not tested; not needed today.</t>
        </is>
      </c>
    </row>
    <row r="42" ht="15" customHeight="1" s="12">
      <c r="A42" s="15" t="inlineStr">
        <is>
          <t>D6</t>
        </is>
      </c>
      <c r="B42" s="15" t="inlineStr">
        <is>
          <t>Report</t>
        </is>
      </c>
      <c r="C42" s="15" t="inlineStr">
        <is>
          <t>Issue names written by a model, with the medoid quote shown as 'in users' words'.</t>
        </is>
      </c>
      <c r="D42" s="15" t="inlineStr">
        <is>
          <t>docs/report-design.md</t>
        </is>
      </c>
      <c r="E42" s="15" t="inlineStr">
        <is>
          <t>Superseded</t>
        </is>
      </c>
      <c r="F42" s="15" t="inlineStr">
        <is>
          <t>Names now come from pv issues. Superseded 2026-10-22 (report-design.md §9): topic names come from the matrix (D18).</t>
        </is>
      </c>
    </row>
    <row r="43" ht="15" customHeight="1" s="12">
      <c r="A43" s="15" t="inlineStr">
        <is>
          <t>D7</t>
        </is>
      </c>
      <c r="B43" s="15" t="inlineStr">
        <is>
          <t>Report</t>
        </is>
      </c>
      <c r="C43" s="15" t="inlineStr">
        <is>
          <t>General sentiment kept apart from actionable issues.</t>
        </is>
      </c>
      <c r="D43" s="15" t="inlineStr">
        <is>
          <t>docs/report-design.md</t>
        </is>
      </c>
      <c r="E43" s="15" t="inlineStr">
        <is>
          <t>Met</t>
        </is>
      </c>
      <c r="F43" s="15" t="n"/>
    </row>
    <row r="44" ht="15" customHeight="1" s="12">
      <c r="A44" s="15" t="inlineStr">
        <is>
          <t>D8</t>
        </is>
      </c>
      <c r="B44" s="15" t="inlineStr">
        <is>
          <t>Report</t>
        </is>
      </c>
      <c r="C44" s="15" t="inlineStr">
        <is>
          <t>Near-duplicate clusters shown merged.</t>
        </is>
      </c>
      <c r="D44" s="15" t="inlineStr">
        <is>
          <t>docs/report-design.md</t>
        </is>
      </c>
      <c r="E44" s="15" t="inlineStr">
        <is>
          <t>Superseded</t>
        </is>
      </c>
      <c r="F44" s="15" t="inlineStr">
        <is>
          <t>Gate G5 (duplicates ≤ 10%). Superseded 2026-10-22 (report-design.md §9): fixed topics cannot duplicate (D18).</t>
        </is>
      </c>
    </row>
    <row r="45" ht="15" customHeight="1" s="12">
      <c r="A45" s="15" t="inlineStr">
        <is>
          <t>D9</t>
        </is>
      </c>
      <c r="B45" s="15" t="inlineStr">
        <is>
          <t>Report</t>
        </is>
      </c>
      <c r="C45" s="15" t="inlineStr">
        <is>
          <t>Cadence weekly plus each release; delivery by @mentions and Slack.</t>
        </is>
      </c>
      <c r="D45" s="15" t="inlineStr">
        <is>
          <t>docs/report-design.md</t>
        </is>
      </c>
      <c r="E45" s="15" t="inlineStr">
        <is>
          <t>Not built</t>
        </is>
      </c>
      <c r="F45" s="15" t="inlineStr">
        <is>
          <t>After the demo. Superseded 2026-10-22 (report-design.md §9): delivery is email: member report links and team mailing lists (D21). Cadence weekly stays.</t>
        </is>
      </c>
    </row>
    <row r="46" ht="24" customHeight="1" s="12">
      <c r="A46" s="15" t="inlineStr">
        <is>
          <t>D10</t>
        </is>
      </c>
      <c r="B46" s="15" t="inlineStr">
        <is>
          <t>Report</t>
        </is>
      </c>
      <c r="C46" s="15" t="inlineStr">
        <is>
          <t>Raw data stays in the store; views derive their numbers. No pre-computed classifications.</t>
        </is>
      </c>
      <c r="D46" s="15" t="inlineStr">
        <is>
          <t>docs/report-design.md</t>
        </is>
      </c>
      <c r="E46" s="15" t="inlineStr">
        <is>
          <t>Met</t>
        </is>
      </c>
      <c r="F46" s="15" t="n"/>
    </row>
    <row r="47" ht="15" customHeight="1" s="12">
      <c r="A47" s="15" t="inlineStr">
        <is>
          <t>D11</t>
        </is>
      </c>
      <c r="B47" s="15" t="inlineStr">
        <is>
          <t>Report</t>
        </is>
      </c>
      <c r="C47" s="15" t="inlineStr">
        <is>
          <t>Recent activity leads; all-time is context.</t>
        </is>
      </c>
      <c r="D47" s="15" t="inlineStr">
        <is>
          <t>docs/report-design.md</t>
        </is>
      </c>
      <c r="E47" s="15" t="inlineStr">
        <is>
          <t>Superseded</t>
        </is>
      </c>
      <c r="F47" s="15" t="inlineStr">
        <is>
          <t>Replaced by D15.</t>
        </is>
      </c>
    </row>
    <row r="48" ht="24" customHeight="1" s="12">
      <c r="A48" s="15" t="inlineStr">
        <is>
          <t>D12</t>
        </is>
      </c>
      <c r="B48" s="15" t="inlineStr">
        <is>
          <t>Report</t>
        </is>
      </c>
      <c r="C48" s="15" t="inlineStr">
        <is>
          <t>Several orderings of the same rows (by change, by area, by volume), not one ranked list.</t>
        </is>
      </c>
      <c r="D48" s="15" t="inlineStr">
        <is>
          <t>docs/report-design.md</t>
        </is>
      </c>
      <c r="E48" s="15" t="inlineStr">
        <is>
          <t>Met</t>
        </is>
      </c>
      <c r="F48" s="15" t="n"/>
    </row>
    <row r="49" ht="15" customHeight="1" s="12">
      <c r="A49" s="15" t="inlineStr">
        <is>
          <t>D13</t>
        </is>
      </c>
      <c r="B49" s="15" t="inlineStr">
        <is>
          <t>Report</t>
        </is>
      </c>
      <c r="C49" s="15" t="inlineStr">
        <is>
          <t>Outcomes (e.g. switching banks) are their own kind, feeding KPI tiles.</t>
        </is>
      </c>
      <c r="D49" s="15" t="inlineStr">
        <is>
          <t>docs/report-design.md</t>
        </is>
      </c>
      <c r="E49" s="15" t="inlineStr">
        <is>
          <t>Met</t>
        </is>
      </c>
      <c r="F49" s="15" t="n"/>
    </row>
    <row r="50" ht="24" customHeight="1" s="12">
      <c r="A50" s="15" t="inlineStr">
        <is>
          <t>D14</t>
        </is>
      </c>
      <c r="B50" s="15" t="inlineStr">
        <is>
          <t>Report</t>
        </is>
      </c>
      <c r="C50" s="15" t="inlineStr">
        <is>
          <t>Hand curation in curation.yaml keyed by label with anchor reviews.</t>
        </is>
      </c>
      <c r="D50" s="15" t="inlineStr">
        <is>
          <t>docs/report-design.md</t>
        </is>
      </c>
      <c r="E50" s="15" t="inlineStr">
        <is>
          <t>Superseded</t>
        </is>
      </c>
      <c r="F50" s="15" t="inlineStr">
        <is>
          <t>Issue labels and anchors removed (decision 4); areas and roles remain. Superseded 2026-10-22 (report-design.md §9): roles in curation.yaml are replaced by the matrix (D19).</t>
        </is>
      </c>
    </row>
    <row r="51" ht="24" customHeight="1" s="12">
      <c r="A51" s="15" t="inlineStr">
        <is>
          <t>D15</t>
        </is>
      </c>
      <c r="B51" s="15" t="inlineStr">
        <is>
          <t>Report</t>
        </is>
      </c>
      <c r="C51" s="15" t="inlineStr">
        <is>
          <t>Periodic overview: one 28-day period against 'usual' (mean of earlier periods); change = Poisson test, p &lt; 0.05, at least 3 reviews.</t>
        </is>
      </c>
      <c r="D51" s="15" t="inlineStr">
        <is>
          <t>docs/report-design.md</t>
        </is>
      </c>
      <c r="E51" s="15" t="inlineStr">
        <is>
          <t>Met</t>
        </is>
      </c>
      <c r="F51" s="15" t="inlineStr">
        <is>
          <t>3 baseline periods in the demo (D17).</t>
        </is>
      </c>
    </row>
    <row r="52" ht="15" customHeight="1" s="12">
      <c r="A52" s="15" t="inlineStr">
        <is>
          <t>D16</t>
        </is>
      </c>
      <c r="B52" s="15" t="inlineStr">
        <is>
          <t>Report</t>
        </is>
      </c>
      <c r="C52" s="15" t="inlineStr">
        <is>
          <t>Issues filed by product area; each role reads only its areas.</t>
        </is>
      </c>
      <c r="D52" s="15" t="inlineStr">
        <is>
          <t>docs/report-design.md</t>
        </is>
      </c>
      <c r="E52" s="15" t="inlineStr">
        <is>
          <t>Superseded</t>
        </is>
      </c>
      <c r="F52" s="15" t="inlineStr">
        <is>
          <t>Areas and roles still to validate with the team. Superseded 2026-10-22 (report-design.md §9): role pages become team pages and member reports (D20).</t>
        </is>
      </c>
    </row>
    <row r="53" ht="15" customHeight="1" s="12">
      <c r="A53" s="15" t="inlineStr">
        <is>
          <t>D17</t>
        </is>
      </c>
      <c r="B53" s="15" t="inlineStr">
        <is>
          <t>Report</t>
        </is>
      </c>
      <c r="C53" s="15" t="inlineStr">
        <is>
          <t>Demo standard (see R41).</t>
        </is>
      </c>
      <c r="D53" s="15" t="inlineStr">
        <is>
          <t>docs/report-design.md</t>
        </is>
      </c>
      <c r="E53" s="15" t="inlineStr">
        <is>
          <t>Open</t>
        </is>
      </c>
      <c r="F53" s="15" t="n"/>
    </row>
    <row r="54" ht="24" customHeight="1" s="12">
      <c r="A54" s="15" t="inlineStr">
        <is>
          <t>T01</t>
        </is>
      </c>
      <c r="B54" s="15" t="inlineStr">
        <is>
          <t>Trial method</t>
        </is>
      </c>
      <c r="C54" s="15" t="inlineStr">
        <is>
          <t>Pass criteria are written before any run; revisions are dated and made before the held-out slice is labelled.</t>
        </is>
      </c>
      <c r="D54" s="15" t="inlineStr">
        <is>
          <t>trials/llm-trials.md Viability test</t>
        </is>
      </c>
      <c r="E54" s="15" t="inlineStr">
        <is>
          <t>Met</t>
        </is>
      </c>
      <c r="F54" s="15" t="n"/>
    </row>
    <row r="55" ht="15" customHeight="1" s="12">
      <c r="A55" s="15" t="inlineStr">
        <is>
          <t>T02</t>
        </is>
      </c>
      <c r="B55" s="15" t="inlineStr">
        <is>
          <t>Trial method</t>
        </is>
      </c>
      <c r="C55" s="15" t="inlineStr">
        <is>
          <t>Stop a trial once its main measure or a gate clearly fails.</t>
        </is>
      </c>
      <c r="D55" s="15" t="inlineStr">
        <is>
          <t>Project memory; trials/llm-trials.md</t>
        </is>
      </c>
      <c r="E55" s="15" t="inlineStr">
        <is>
          <t>Met</t>
        </is>
      </c>
      <c r="F55" s="15" t="n"/>
    </row>
    <row r="56" ht="15" customHeight="1" s="12">
      <c r="A56" s="15" t="inlineStr">
        <is>
          <t>T03</t>
        </is>
      </c>
      <c r="B56" s="15" t="inlineStr">
        <is>
          <t>Trial method</t>
        </is>
      </c>
      <c r="C56" s="15" t="inlineStr">
        <is>
          <t>Upgrades are stacked into one trial with drop-one ablations, not one trial each.</t>
        </is>
      </c>
      <c r="D56" s="15" t="inlineStr">
        <is>
          <t>Project memory</t>
        </is>
      </c>
      <c r="E56" s="15" t="inlineStr">
        <is>
          <t>Met</t>
        </is>
      </c>
      <c r="F56" s="15" t="n"/>
    </row>
    <row r="57" ht="24" customHeight="1" s="12">
      <c r="A57" s="15" t="inlineStr">
        <is>
          <t>T04</t>
        </is>
      </c>
      <c r="B57" s="15" t="inlineStr">
        <is>
          <t>Trial method</t>
        </is>
      </c>
      <c r="C57" s="15" t="inlineStr">
        <is>
          <t>Prompt examples come from an unrelated domain (food delivery), so the model cannot copy them.</t>
        </is>
      </c>
      <c r="D57" s="15" t="inlineStr">
        <is>
          <t>trials/llm-trials.md trials 1–2</t>
        </is>
      </c>
      <c r="E57" s="15" t="inlineStr">
        <is>
          <t>Met</t>
        </is>
      </c>
      <c r="F57" s="15" t="n"/>
    </row>
    <row r="58" ht="24" customHeight="1" s="12">
      <c r="A58" s="15" t="inlineStr">
        <is>
          <t>T05</t>
        </is>
      </c>
      <c r="B58" s="15" t="inlineStr">
        <is>
          <t>Trial method</t>
        </is>
      </c>
      <c r="C58" s="15" t="inlineStr">
        <is>
          <t>Gold labels are written blind, before reading the model's output; labeller is Claude (larger than the model under test) until the team labels a set.</t>
        </is>
      </c>
      <c r="D58" s="15" t="inlineStr">
        <is>
          <t>trials/llm-trials.md Viability test</t>
        </is>
      </c>
      <c r="E58" s="15" t="inlineStr">
        <is>
          <t>Met</t>
        </is>
      </c>
      <c r="F58" s="15" t="n"/>
    </row>
    <row r="59" ht="24" customHeight="1" s="12">
      <c r="A59" s="15" t="inlineStr">
        <is>
          <t>T06</t>
        </is>
      </c>
      <c r="B59" s="15" t="inlineStr">
        <is>
          <t>Trial method</t>
        </is>
      </c>
      <c r="C59" s="15" t="inlineStr">
        <is>
          <t>Design faults are worked first; operational and validation work last.</t>
        </is>
      </c>
      <c r="D59" s="15" t="inlineStr">
        <is>
          <t>Project memory; trials/llm-trials.md decision 5</t>
        </is>
      </c>
      <c r="E59" s="15" t="inlineStr">
        <is>
          <t>Met</t>
        </is>
      </c>
      <c r="F59" s="15" t="n"/>
    </row>
    <row r="60" ht="24" customHeight="1" s="12">
      <c r="A60" s="15" t="inlineStr">
        <is>
          <t>T07</t>
        </is>
      </c>
      <c r="B60" s="15" t="inlineStr">
        <is>
          <t>Trial method</t>
        </is>
      </c>
      <c r="C60" s="15" t="inlineStr">
        <is>
          <t>A method's result is reported over several input orders (pass rate), not one draw.</t>
        </is>
      </c>
      <c r="D60" s="15" t="inlineStr">
        <is>
          <t>trials/llm-trials.md Port check, fix 1</t>
        </is>
      </c>
      <c r="E60" s="15" t="inlineStr">
        <is>
          <t>Open</t>
        </is>
      </c>
      <c r="F60" s="15" t="inlineStr">
        <is>
          <t>Adopted by the embedding-route trials (5 orders); pv issues not yet re-measured.</t>
        </is>
      </c>
    </row>
    <row r="61">
      <c r="A61" s="15" t="inlineStr">
        <is>
          <t>R60</t>
        </is>
      </c>
      <c r="B61" s="15" t="inlineStr">
        <is>
          <t>Product goal</t>
        </is>
      </c>
      <c r="C61" s="15" t="inlineStr">
        <is>
          <t>Reports are tailored to a fixed team → team member → topic matrix. Topics are predefined, specific app features; reviews are matched to them, and Product View never creates, renames or merges a topic. Reviews matching no topic are counted as "no topic".</t>
        </is>
      </c>
      <c r="D61" s="15" t="inlineStr">
        <is>
          <t>docs/report-design.md D18</t>
        </is>
      </c>
      <c r="E61" s="15" t="inlineStr">
        <is>
          <t>Not built</t>
        </is>
      </c>
      <c r="F61" s="15" t="inlineStr">
        <is>
          <t>Requirements change 2026-10-22. Matching method open; needs its own validation against topic-labelled reviews.</t>
        </is>
      </c>
    </row>
    <row r="62">
      <c r="A62" s="15" t="inlineStr">
        <is>
          <t>R61</t>
        </is>
      </c>
      <c r="B62" s="15" t="inlineStr">
        <is>
          <t>Product goal</t>
        </is>
      </c>
      <c r="C62" s="15" t="inlineStr">
        <is>
          <t>The matrix lives in one file in a standard format (topics: id, name, description; teams: name, mailing list, members with name, email, topics). Only the sample is committed; the real matrix.yaml is confidential and gitignored.</t>
        </is>
      </c>
      <c r="D62" s="15" t="inlineStr">
        <is>
          <t>docs/report-design.md D19; matrix.sample.yaml</t>
        </is>
      </c>
      <c r="E62" s="15" t="inlineStr">
        <is>
          <t>Partial</t>
        </is>
      </c>
      <c r="F62" s="15" t="inlineStr">
        <is>
          <t>Format and invented sample written 2026-10-22; not yet read by any code.</t>
        </is>
      </c>
    </row>
    <row r="63">
      <c r="A63" s="15" t="inlineStr">
        <is>
          <t>R62</t>
        </is>
      </c>
      <c r="B63" s="15" t="inlineStr">
        <is>
          <t>Report</t>
        </is>
      </c>
      <c r="C63" s="15" t="inlineStr">
        <is>
          <t>One Confluence page per team (high-level view of its topics), and one report per member, on their topics only, from a standard template.</t>
        </is>
      </c>
      <c r="D63" s="15" t="inlineStr">
        <is>
          <t>docs/report-design.md D20</t>
        </is>
      </c>
      <c r="E63" s="15" t="inlineStr">
        <is>
          <t>Not built</t>
        </is>
      </c>
      <c r="F63" s="15" t="inlineStr">
        <is>
          <t>Member report assumed to be a Confluence page under its team page; to confirm.</t>
        </is>
      </c>
    </row>
    <row r="64">
      <c r="A64" s="15" t="inlineStr">
        <is>
          <t>R63</t>
        </is>
      </c>
      <c r="B64" s="15" t="inlineStr">
        <is>
          <t>Delivery</t>
        </is>
      </c>
      <c r="C64" s="15" t="inlineStr">
        <is>
          <t>Each member is emailed a link to their report; each team mailing list is emailed a link to its team page. SMTP credentials from the environment or .env.</t>
        </is>
      </c>
      <c r="D64" s="15" t="inlineStr">
        <is>
          <t>docs/report-design.md D21</t>
        </is>
      </c>
      <c r="E64" s="15" t="inlineStr">
        <is>
          <t>Not built</t>
        </is>
      </c>
      <c r="F64" s="15" t="n"/>
    </row>
    <row r="65">
      <c r="A65" s="15" t="inlineStr">
        <is>
          <t>R64</t>
        </is>
      </c>
      <c r="B65" s="15" t="inlineStr">
        <is>
          <t>Operations</t>
        </is>
      </c>
      <c r="C65" s="15" t="inlineStr">
        <is>
          <t>The whole application runs in containers, including the local model server.</t>
        </is>
      </c>
      <c r="D65" s="15" t="inlineStr">
        <is>
          <t>docs/report-design.md D22</t>
        </is>
      </c>
      <c r="E65" s="15" t="inlineStr">
        <is>
          <t>Partial</t>
        </is>
      </c>
      <c r="F65" s="15" t="inlineStr">
        <is>
          <t>Image built and verified 2026-09-29 for the earlier pipeline; it holds no model and predates the issue stage.</t>
        </is>
      </c>
    </row>
    <row r="66">
      <c r="A66" s="15" t="inlineStr">
        <is>
          <t>R65</t>
        </is>
      </c>
      <c r="B66" s="15" t="inlineStr">
        <is>
          <t>Operations</t>
        </is>
      </c>
      <c r="C66" s="15" t="inlineStr">
        <is>
          <t>A scheduler collects the newest reviews and runs the full pipeline periodically (default weekly), with no one starting it.</t>
        </is>
      </c>
      <c r="D66" s="15" t="inlineStr">
        <is>
          <t>docs/report-design.md D22</t>
        </is>
      </c>
      <c r="E66" s="15" t="inlineStr">
        <is>
          <t>Not built</t>
        </is>
      </c>
      <c r="F66" s="15" t="inlineStr">
        <is>
          <t>Replaces the documented cron / Task Scheduler recipes (Project.md §7).</t>
        </is>
      </c>
    </row>
  </sheetData>
  <autoFilter ref="A1:F66"/>
  <conditionalFormatting sqref="E2:E66">
    <cfRule type="expression" rank="0" priority="2" equalAverage="0" aboveAverage="0" dxfId="6" text="" percent="0" bottom="0">
      <formula>LEFT(E2,3)="Met"</formula>
    </cfRule>
    <cfRule type="expression" rank="0" priority="3" equalAverage="0" aboveAverage="0" dxfId="6" text="" percent="0" bottom="0">
      <formula>LEFT(E2,4)="Pass"</formula>
    </cfRule>
    <cfRule type="expression" rank="0" priority="4" equalAverage="0" aboveAverage="0" dxfId="6" text="" percent="0" bottom="0">
      <formula>LEFT(E2,6)="Active"</formula>
    </cfRule>
    <cfRule type="expression" rank="0" priority="5" equalAverage="0" aboveAverage="0" dxfId="6" text="" percent="0" bottom="0">
      <formula>LEFT(E2,4)="Kept"</formula>
    </cfRule>
    <cfRule type="expression" rank="0" priority="6" equalAverage="0" aboveAverage="0" dxfId="7" text="" percent="0" bottom="0">
      <formula>LEFT(E2,7)="Partial"</formula>
    </cfRule>
    <cfRule type="expression" rank="0" priority="7" equalAverage="0" aboveAverage="0" dxfId="7" text="" percent="0" bottom="0">
      <formula>LEFT(E2,4)="Open"</formula>
    </cfRule>
    <cfRule type="expression" rank="0" priority="8" equalAverage="0" aboveAverage="0" dxfId="7" text="" percent="0" bottom="0">
      <formula>LEFT(E2,8)="Marginal"</formula>
    </cfRule>
    <cfRule type="expression" rank="0" priority="9" equalAverage="0" aboveAverage="0" dxfId="7" text="" percent="0" bottom="0">
      <formula>LEFT(E2,7)="Revised"</formula>
    </cfRule>
    <cfRule type="expression" rank="0" priority="10" equalAverage="0" aboveAverage="0" dxfId="8" text="" percent="0" bottom="0">
      <formula>LEFT(E2,4)="Fail"</formula>
    </cfRule>
    <cfRule type="expression" rank="0" priority="11" equalAverage="0" aboveAverage="0" dxfId="8" text="" percent="0" bottom="0">
      <formula>LEFT(E2,8)="Not kept"</formula>
    </cfRule>
    <cfRule type="expression" rank="0" priority="12" equalAverage="0" aboveAverage="0" dxfId="9" text="" percent="0" bottom="0">
      <formula>LEFT(E2,10)="Superseded"</formula>
    </cfRule>
    <cfRule type="expression" rank="0" priority="13" equalAverage="0" aboveAverage="0" dxfId="9" text="" percent="0" bottom="0">
      <formula>LEFT(E2,9)="Not built"</formula>
    </cfRule>
    <cfRule type="expression" rank="0" priority="14" equalAverage="0" aboveAverage="0" dxfId="9" text="" percent="0" bottom="0">
      <formula>LEFT(E2,9)="Reference"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453125" defaultRowHeight="15" customHeight="0" zeroHeight="0" outlineLevelRow="0"/>
  <cols>
    <col width="20" customWidth="1" style="11" min="1" max="1"/>
    <col width="7" customWidth="1" style="11" min="2" max="2"/>
    <col width="22" customWidth="1" style="11" min="3" max="3"/>
    <col width="60" customWidth="1" style="11" min="4" max="4"/>
    <col width="11" customWidth="1" style="11" min="5" max="5"/>
    <col width="9" customWidth="1" style="11" min="6" max="6"/>
    <col width="8" customWidth="1" style="11" min="7" max="7"/>
    <col width="45" customWidth="1" style="11" min="8" max="8"/>
    <col width="18" customWidth="1" style="11" min="9" max="9"/>
    <col width="12" customWidth="1" style="11" min="10" max="10"/>
  </cols>
  <sheetData>
    <row r="1" ht="24" customHeight="1" s="12">
      <c r="A1" s="13" t="inlineStr">
        <is>
          <t>Test</t>
        </is>
      </c>
      <c r="B1" s="13" t="inlineStr">
        <is>
          <t>Gate</t>
        </is>
      </c>
      <c r="C1" s="13" t="inlineStr">
        <is>
          <t>Measure</t>
        </is>
      </c>
      <c r="D1" s="13" t="inlineStr">
        <is>
          <t>Definition</t>
        </is>
      </c>
      <c r="E1" s="13" t="inlineStr">
        <is>
          <t>Comparator</t>
        </is>
      </c>
      <c r="F1" s="13" t="inlineStr">
        <is>
          <t>Bar</t>
        </is>
      </c>
      <c r="G1" s="13" t="inlineStr">
        <is>
          <t>Unit</t>
        </is>
      </c>
      <c r="H1" s="13" t="inlineStr">
        <is>
          <t>Why this bar</t>
        </is>
      </c>
      <c r="I1" s="13" t="inlineStr">
        <is>
          <t>Set on</t>
        </is>
      </c>
      <c r="J1" s="13" t="inlineStr">
        <is>
          <t>Status</t>
        </is>
      </c>
    </row>
    <row r="2" ht="15" customHeight="1" s="12">
      <c r="A2" s="15" t="inlineStr">
        <is>
          <t>Viability test</t>
        </is>
      </c>
      <c r="B2" s="15" t="inlineStr">
        <is>
          <t>G1</t>
        </is>
      </c>
      <c r="C2" s="15" t="inlineStr">
        <is>
          <t>Quotes exact</t>
        </is>
      </c>
      <c r="D2" s="15" t="inlineStr">
        <is>
          <t>Share of quotes found verbatim in their review.</t>
        </is>
      </c>
      <c r="E2" s="15" t="inlineStr">
        <is>
          <t>&gt;=</t>
        </is>
      </c>
      <c r="F2" s="16" t="n">
        <v>0.98</v>
      </c>
      <c r="G2" s="15" t="inlineStr">
        <is>
          <t>%</t>
        </is>
      </c>
      <c r="H2" s="15" t="inlineStr">
        <is>
          <t>The link back to the review is the traceability promise.</t>
        </is>
      </c>
      <c r="I2" s="15" t="inlineStr">
        <is>
          <t>2026-10-13</t>
        </is>
      </c>
      <c r="J2" s="15" t="inlineStr">
        <is>
          <t>Active</t>
        </is>
      </c>
    </row>
    <row r="3" ht="24" customHeight="1" s="12">
      <c r="A3" s="15" t="inlineStr">
        <is>
          <t>Viability test</t>
        </is>
      </c>
      <c r="B3" s="15" t="inlineStr">
        <is>
          <t>G2</t>
        </is>
      </c>
      <c r="C3" s="15" t="inlineStr">
        <is>
          <t>Precision</t>
        </is>
      </c>
      <c r="D3" s="15" t="inlineStr">
        <is>
          <t>Of points the model files under an issue, the share the gold label agrees with. Matches to a concept judged broad count as misses.</t>
        </is>
      </c>
      <c r="E3" s="15" t="inlineStr">
        <is>
          <t>&gt;=</t>
        </is>
      </c>
      <c r="F3" s="16" t="n">
        <v>0.75</v>
      </c>
      <c r="G3" s="15" t="inlineStr">
        <is>
          <t>%</t>
        </is>
      </c>
      <c r="H3" s="15" t="inlineStr">
        <is>
          <t>A reader sees at most one off-topic quote in four.</t>
        </is>
      </c>
      <c r="I3" s="15" t="inlineStr">
        <is>
          <t>2026-10-13</t>
        </is>
      </c>
      <c r="J3" s="15" t="inlineStr">
        <is>
          <t>Superseded</t>
        </is>
      </c>
    </row>
    <row r="4" ht="24" customHeight="1" s="12">
      <c r="A4" s="15" t="inlineStr">
        <is>
          <t>Viability test (re-run)</t>
        </is>
      </c>
      <c r="B4" s="15" t="inlineStr">
        <is>
          <t>G2</t>
        </is>
      </c>
      <c r="C4" s="15" t="inlineStr">
        <is>
          <t>Precision</t>
        </is>
      </c>
      <c r="D4" s="15" t="inlineStr">
        <is>
          <t>As above.</t>
        </is>
      </c>
      <c r="E4" s="15" t="inlineStr">
        <is>
          <t>&gt;=</t>
        </is>
      </c>
      <c r="F4" s="16" t="n">
        <v>0.6</v>
      </c>
      <c r="G4" s="15" t="inlineStr">
        <is>
          <t>%</t>
        </is>
      </c>
      <c r="H4" s="15" t="inlineStr">
        <is>
          <t>Production's 43% plus about the G7 margin: anchored to what is live, not to the model's own numbers.</t>
        </is>
      </c>
      <c r="I4" s="15" t="inlineStr">
        <is>
          <t>2026-10-13 (after V1, before V2 labelled)</t>
        </is>
      </c>
      <c r="J4" s="15" t="inlineStr">
        <is>
          <t>Active</t>
        </is>
      </c>
    </row>
    <row r="5" ht="24" customHeight="1" s="12">
      <c r="A5" s="15" t="inlineStr">
        <is>
          <t>Viability test</t>
        </is>
      </c>
      <c r="B5" s="15" t="inlineStr">
        <is>
          <t>G3</t>
        </is>
      </c>
      <c r="C5" s="15" t="inlineStr">
        <is>
          <t>Recall</t>
        </is>
      </c>
      <c r="D5" s="15" t="inlineStr">
        <is>
          <t>Of points the label files under an issue, the share the model files under one of the same.</t>
        </is>
      </c>
      <c r="E5" s="15" t="inlineStr">
        <is>
          <t>&gt;=</t>
        </is>
      </c>
      <c r="F5" s="16" t="n">
        <v>0.6</v>
      </c>
      <c r="G5" s="15" t="inlineStr">
        <is>
          <t>%</t>
        </is>
      </c>
      <c r="H5" s="15" t="inlineStr">
        <is>
          <t>Most of an issue's evidence reaches its page.</t>
        </is>
      </c>
      <c r="I5" s="15" t="inlineStr">
        <is>
          <t>2026-10-13</t>
        </is>
      </c>
      <c r="J5" s="15" t="inlineStr">
        <is>
          <t>Active</t>
        </is>
      </c>
    </row>
    <row r="6" ht="24" customHeight="1" s="12">
      <c r="A6" s="15" t="inlineStr">
        <is>
          <t>Viability test</t>
        </is>
      </c>
      <c r="B6" s="15" t="inlineStr">
        <is>
          <t>G4</t>
        </is>
      </c>
      <c r="C6" s="15" t="inlineStr">
        <is>
          <t>Grab-bags</t>
        </is>
      </c>
      <c r="D6" s="15" t="inlineStr">
        <is>
          <t>Issue concepts with ≥ 5 matches and precision &lt; 50%.</t>
        </is>
      </c>
      <c r="E6" s="15" t="inlineStr">
        <is>
          <t>&lt;=</t>
        </is>
      </c>
      <c r="F6" s="17" t="n">
        <v>1</v>
      </c>
      <c r="G6" s="15" t="inlineStr">
        <is>
          <t>count</t>
        </is>
      </c>
      <c r="H6" s="15" t="inlineStr">
        <is>
          <t>The catch-alls of trials 12–13 are the fault this design exists to fix.</t>
        </is>
      </c>
      <c r="I6" s="15" t="inlineStr">
        <is>
          <t>2026-10-13</t>
        </is>
      </c>
      <c r="J6" s="15" t="inlineStr">
        <is>
          <t>Superseded</t>
        </is>
      </c>
    </row>
    <row r="7" ht="24" customHeight="1" s="12">
      <c r="A7" s="15" t="inlineStr">
        <is>
          <t>Viability test (re-run)</t>
        </is>
      </c>
      <c r="B7" s="15" t="inlineStr">
        <is>
          <t>G4</t>
        </is>
      </c>
      <c r="C7" s="15" t="inlineStr">
        <is>
          <t>Broad live issues</t>
        </is>
      </c>
      <c r="D7" s="15" t="inlineStr">
        <is>
          <t>Live issue concepts judged broad (no single feature and failure a team could own).</t>
        </is>
      </c>
      <c r="E7" s="15" t="inlineStr">
        <is>
          <t>&lt;=</t>
        </is>
      </c>
      <c r="F7" s="17" t="n">
        <v>1</v>
      </c>
      <c r="G7" s="15" t="inlineStr">
        <is>
          <t>count</t>
        </is>
      </c>
      <c r="H7" s="15" t="inlineStr">
        <is>
          <t>Specific concepts with low precision are scorer errors: reported, not gated.</t>
        </is>
      </c>
      <c r="I7" s="15" t="inlineStr">
        <is>
          <t>2026-10-13 (after V1)</t>
        </is>
      </c>
      <c r="J7" s="15" t="inlineStr">
        <is>
          <t>Active</t>
        </is>
      </c>
    </row>
    <row r="8" ht="15" customHeight="1" s="12">
      <c r="A8" s="15" t="inlineStr">
        <is>
          <t>Viability test</t>
        </is>
      </c>
      <c r="B8" s="15" t="inlineStr">
        <is>
          <t>G5</t>
        </is>
      </c>
      <c r="C8" s="15" t="inlineStr">
        <is>
          <t>Duplicates</t>
        </is>
      </c>
      <c r="D8" s="15" t="inlineStr">
        <is>
          <t>Issue concepts that repeat another live one.</t>
        </is>
      </c>
      <c r="E8" s="15" t="inlineStr">
        <is>
          <t>&lt;=</t>
        </is>
      </c>
      <c r="F8" s="16" t="n">
        <v>0.1</v>
      </c>
      <c r="G8" s="15" t="inlineStr">
        <is>
          <t>%</t>
        </is>
      </c>
      <c r="H8" s="15" t="inlineStr">
        <is>
          <t>One issue, one page.</t>
        </is>
      </c>
      <c r="I8" s="15" t="inlineStr">
        <is>
          <t>2026-10-13</t>
        </is>
      </c>
      <c r="J8" s="15" t="inlineStr">
        <is>
          <t>Active</t>
        </is>
      </c>
    </row>
    <row r="9" ht="15" customHeight="1" s="12">
      <c r="A9" s="15" t="inlineStr">
        <is>
          <t>Viability test</t>
        </is>
      </c>
      <c r="B9" s="15" t="inlineStr">
        <is>
          <t>G6</t>
        </is>
      </c>
      <c r="C9" s="15" t="inlineStr">
        <is>
          <t>Persistence</t>
        </is>
      </c>
      <c r="D9" s="15" t="inlineStr">
        <is>
          <t>New concepts that duplicate one carried from an earlier slice.</t>
        </is>
      </c>
      <c r="E9" s="15" t="inlineStr">
        <is>
          <t>&lt;=</t>
        </is>
      </c>
      <c r="F9" s="17" t="n">
        <v>1</v>
      </c>
      <c r="G9" s="15" t="inlineStr">
        <is>
          <t>count</t>
        </is>
      </c>
      <c r="H9" s="15" t="inlineStr">
        <is>
          <t>Stable issue ids.</t>
        </is>
      </c>
      <c r="I9" s="15" t="inlineStr">
        <is>
          <t>2026-10-13</t>
        </is>
      </c>
      <c r="J9" s="15" t="inlineStr">
        <is>
          <t>Active</t>
        </is>
      </c>
    </row>
    <row r="10" ht="24" customHeight="1" s="12">
      <c r="A10" s="15" t="inlineStr">
        <is>
          <t>Viability test (re-run)</t>
        </is>
      </c>
      <c r="B10" s="15" t="inlineStr">
        <is>
          <t>G6b</t>
        </is>
      </c>
      <c r="C10" s="15" t="inlineStr">
        <is>
          <t>Carried concepts unchanged</t>
        </is>
      </c>
      <c r="D10" s="15" t="inlineStr">
        <is>
          <t>No carried concept's name or criterion changes on a later slice.</t>
        </is>
      </c>
      <c r="E10" s="15" t="inlineStr">
        <is>
          <t>&lt;=</t>
        </is>
      </c>
      <c r="F10" s="17" t="n">
        <v>0</v>
      </c>
      <c r="G10" s="15" t="inlineStr">
        <is>
          <t>count</t>
        </is>
      </c>
      <c r="H10" s="15" t="inlineStr">
        <is>
          <t>A stable id whose meaning drifts is worse than none (first run's C038).</t>
        </is>
      </c>
      <c r="I10" s="15" t="inlineStr">
        <is>
          <t>2026-10-13 (after V1)</t>
        </is>
      </c>
      <c r="J10" s="15" t="inlineStr">
        <is>
          <t>Active</t>
        </is>
      </c>
    </row>
    <row r="11" ht="24" customHeight="1" s="12">
      <c r="A11" s="15" t="inlineStr">
        <is>
          <t>Viability test</t>
        </is>
      </c>
      <c r="B11" s="15" t="inlineStr">
        <is>
          <t>G7</t>
        </is>
      </c>
      <c r="C11" s="15" t="inlineStr">
        <is>
          <t>Better than production</t>
        </is>
      </c>
      <c r="D11" s="15" t="inlineStr">
        <is>
          <t>On V1: share of a page's quotes that sit under a specific named issue and fit it, minus production's share (43%).</t>
        </is>
      </c>
      <c r="E11" s="15" t="inlineStr">
        <is>
          <t>&gt;=</t>
        </is>
      </c>
      <c r="F11" s="17" t="n">
        <v>15</v>
      </c>
      <c r="G11" s="15" t="inlineStr">
        <is>
          <t>pts</t>
        </is>
      </c>
      <c r="H11" s="15" t="inlineStr">
        <is>
          <t>Worth replacing what is live.</t>
        </is>
      </c>
      <c r="I11" s="15" t="inlineStr">
        <is>
          <t>2026-10-13</t>
        </is>
      </c>
      <c r="J11" s="15" t="inlineStr">
        <is>
          <t>Active</t>
        </is>
      </c>
    </row>
    <row r="12" ht="24" customHeight="1" s="12">
      <c r="A12" s="15" t="inlineStr">
        <is>
          <t>Viability test</t>
        </is>
      </c>
      <c r="B12" s="15" t="inlineStr">
        <is>
          <t>Pass</t>
        </is>
      </c>
      <c r="C12" s="15" t="inlineStr">
        <is>
          <t>Overall</t>
        </is>
      </c>
      <c r="D12" s="15" t="inlineStr">
        <is>
          <t>Every gate on both held-out slices V2 and V3. G7 is the only gate on V1 (V1 is in-sample).</t>
        </is>
      </c>
      <c r="E12" s="15" t="n"/>
      <c r="F12" s="18" t="n"/>
      <c r="G12" s="15" t="n"/>
      <c r="H12" s="15" t="n"/>
      <c r="I12" s="15" t="inlineStr">
        <is>
          <t>2026-10-13</t>
        </is>
      </c>
      <c r="J12" s="15" t="inlineStr">
        <is>
          <t>Active</t>
        </is>
      </c>
    </row>
    <row r="13" ht="24" customHeight="1" s="12">
      <c r="A13" s="15" t="inlineStr">
        <is>
          <t>Scorer tuning</t>
        </is>
      </c>
      <c r="B13" s="15" t="inlineStr">
        <is>
          <t>TU1</t>
        </is>
      </c>
      <c r="C13" s="15" t="inlineStr">
        <is>
          <t>Variant kept</t>
        </is>
      </c>
      <c r="D13" s="15" t="inlineStr">
        <is>
          <t>Raises GPT precision beyond run-to-run noise (~2 pts) and costs Qwen ≤ 3 pts of precision or recall on V1.</t>
        </is>
      </c>
      <c r="E13" s="15" t="n"/>
      <c r="F13" s="18" t="n"/>
      <c r="G13" s="15" t="n"/>
      <c r="H13" s="15" t="inlineStr">
        <is>
          <t>Same prompt must serve both models.</t>
        </is>
      </c>
      <c r="I13" s="15" t="inlineStr">
        <is>
          <t>2026-10-14</t>
        </is>
      </c>
      <c r="J13" s="15" t="inlineStr">
        <is>
          <t>Active</t>
        </is>
      </c>
    </row>
    <row r="14" ht="15" customHeight="1" s="12">
      <c r="A14" s="15" t="inlineStr">
        <is>
          <t>Scorer tuning</t>
        </is>
      </c>
      <c r="B14" s="15" t="inlineStr">
        <is>
          <t>TU2</t>
        </is>
      </c>
      <c r="C14" s="15" t="inlineStr">
        <is>
          <t>Held-out scorer precision</t>
        </is>
      </c>
      <c r="D14" s="15" t="inlineStr">
        <is>
          <t>Kept variant on V2, both models.</t>
        </is>
      </c>
      <c r="E14" s="15" t="inlineStr">
        <is>
          <t>&gt;=</t>
        </is>
      </c>
      <c r="F14" s="16" t="n">
        <v>0.6</v>
      </c>
      <c r="G14" s="15" t="inlineStr">
        <is>
          <t>%</t>
        </is>
      </c>
      <c r="H14" s="15" t="inlineStr">
        <is>
          <t>Same bar as G2.</t>
        </is>
      </c>
      <c r="I14" s="15" t="inlineStr">
        <is>
          <t>2026-10-14</t>
        </is>
      </c>
      <c r="J14" s="15" t="inlineStr">
        <is>
          <t>Active</t>
        </is>
      </c>
    </row>
    <row r="15" ht="15" customHeight="1" s="12">
      <c r="A15" s="15" t="inlineStr">
        <is>
          <t>Scorer tuning</t>
        </is>
      </c>
      <c r="B15" s="15" t="inlineStr">
        <is>
          <t>TU3</t>
        </is>
      </c>
      <c r="C15" s="15" t="inlineStr">
        <is>
          <t>Held-out scorer recall</t>
        </is>
      </c>
      <c r="D15" s="15" t="inlineStr">
        <is>
          <t>Kept variant on V2, both models.</t>
        </is>
      </c>
      <c r="E15" s="15" t="inlineStr">
        <is>
          <t>&gt;=</t>
        </is>
      </c>
      <c r="F15" s="16" t="n">
        <v>0.6</v>
      </c>
      <c r="G15" s="15" t="inlineStr">
        <is>
          <t>%</t>
        </is>
      </c>
      <c r="H15" s="15" t="inlineStr">
        <is>
          <t>Same bar as G3.</t>
        </is>
      </c>
      <c r="I15" s="15" t="inlineStr">
        <is>
          <t>2026-10-14</t>
        </is>
      </c>
      <c r="J15" s="15" t="inlineStr">
        <is>
          <t>Active</t>
        </is>
      </c>
    </row>
    <row r="16" ht="15" customHeight="1" s="12">
      <c r="A16" s="15" t="inlineStr">
        <is>
          <t>Scorer tuning</t>
        </is>
      </c>
      <c r="B16" s="15" t="inlineStr">
        <is>
          <t>TU4</t>
        </is>
      </c>
      <c r="C16" s="15" t="inlineStr">
        <is>
          <t>OpenAI spend</t>
        </is>
      </c>
      <c r="D16" s="15" t="inlineStr">
        <is>
          <t>Total spend for the round.</t>
        </is>
      </c>
      <c r="E16" s="15" t="inlineStr">
        <is>
          <t>&lt;=</t>
        </is>
      </c>
      <c r="F16" s="19" t="n">
        <v>3</v>
      </c>
      <c r="G16" s="15" t="inlineStr">
        <is>
          <t>USD</t>
        </is>
      </c>
      <c r="H16" s="15" t="inlineStr">
        <is>
          <t>Cost cap.</t>
        </is>
      </c>
      <c r="I16" s="15" t="inlineStr">
        <is>
          <t>2026-10-14</t>
        </is>
      </c>
      <c r="J16" s="15" t="inlineStr">
        <is>
          <t>Active</t>
        </is>
      </c>
    </row>
    <row r="17" ht="24" customHeight="1" s="12">
      <c r="A17" s="15" t="inlineStr">
        <is>
          <t>Embedding route</t>
        </is>
      </c>
      <c r="B17" s="15" t="inlineStr">
        <is>
          <t>E1</t>
        </is>
      </c>
      <c r="C17" s="15" t="inlineStr">
        <is>
          <t>Stack kept</t>
        </is>
      </c>
      <c r="D17" s="15" t="inlineStr">
        <is>
          <t>Beats B0 by more than B0's spread across 5 orders on precision or tone (medians).</t>
        </is>
      </c>
      <c r="E17" s="15" t="n"/>
      <c r="F17" s="18" t="n"/>
      <c r="G17" s="15" t="n"/>
      <c r="H17" s="15" t="inlineStr">
        <is>
          <t>Improvement must exceed order noise.</t>
        </is>
      </c>
      <c r="I17" s="15" t="inlineStr">
        <is>
          <t>2026-10-14</t>
        </is>
      </c>
      <c r="J17" s="15" t="inlineStr">
        <is>
          <t>Active</t>
        </is>
      </c>
    </row>
    <row r="18" ht="15" customHeight="1" s="12">
      <c r="A18" s="15" t="inlineStr">
        <is>
          <t>Embedding route</t>
        </is>
      </c>
      <c r="B18" s="15" t="inlineStr">
        <is>
          <t>E2</t>
        </is>
      </c>
      <c r="C18" s="15" t="inlineStr">
        <is>
          <t>Recall loss vs B0</t>
        </is>
      </c>
      <c r="D18" s="15" t="inlineStr">
        <is>
          <t>Fall in median recall from B0 to the stack.</t>
        </is>
      </c>
      <c r="E18" s="15" t="inlineStr">
        <is>
          <t>&lt;=</t>
        </is>
      </c>
      <c r="F18" s="17" t="n">
        <v>3</v>
      </c>
      <c r="G18" s="15" t="inlineStr">
        <is>
          <t>pts</t>
        </is>
      </c>
      <c r="H18" s="15" t="inlineStr">
        <is>
          <t>No trading recall for precision.</t>
        </is>
      </c>
      <c r="I18" s="15" t="inlineStr">
        <is>
          <t>2026-10-14</t>
        </is>
      </c>
      <c r="J18" s="15" t="inlineStr">
        <is>
          <t>Active</t>
        </is>
      </c>
    </row>
    <row r="19" ht="24" customHeight="1" s="12">
      <c r="A19" s="15" t="inlineStr">
        <is>
          <t>Embedding route</t>
        </is>
      </c>
      <c r="B19" s="15" t="inlineStr">
        <is>
          <t>E3</t>
        </is>
      </c>
      <c r="C19" s="15" t="inlineStr">
        <is>
          <t>Fix stays in stack</t>
        </is>
      </c>
      <c r="D19" s="15" t="inlineStr">
        <is>
          <t>Dropping it worsens its main measure by more than B0's spread, or costs precision or recall more than 3 pts.</t>
        </is>
      </c>
      <c r="E19" s="15" t="n"/>
      <c r="F19" s="18" t="n"/>
      <c r="G19" s="15" t="n"/>
      <c r="H19" s="15" t="inlineStr">
        <is>
          <t>Removes dead weight.</t>
        </is>
      </c>
      <c r="I19" s="15" t="inlineStr">
        <is>
          <t>2026-10-14</t>
        </is>
      </c>
      <c r="J19" s="15" t="inlineStr">
        <is>
          <t>Active</t>
        </is>
      </c>
    </row>
    <row r="20" ht="35" customHeight="1" s="12">
      <c r="A20" s="15" t="inlineStr">
        <is>
          <t>Embedding route</t>
        </is>
      </c>
      <c r="B20" s="15" t="inlineStr">
        <is>
          <t>E4</t>
        </is>
      </c>
      <c r="C20" s="15" t="inlineStr">
        <is>
          <t>Held-out precision (P)</t>
        </is>
      </c>
      <c r="D20" s="15" t="inlineStr">
        <is>
          <t>Of labelled sentences in issue clusters, the share whose labels include the cluster's issue; general and non-complaint sentences count as misses.</t>
        </is>
      </c>
      <c r="E20" s="15" t="inlineStr">
        <is>
          <t>&gt;=</t>
        </is>
      </c>
      <c r="F20" s="16" t="n">
        <v>0.6</v>
      </c>
      <c r="G20" s="15" t="inlineStr">
        <is>
          <t>%</t>
        </is>
      </c>
      <c r="H20" s="15" t="inlineStr">
        <is>
          <t>The pv issues bar.</t>
        </is>
      </c>
      <c r="I20" s="15" t="inlineStr">
        <is>
          <t>2026-10-14</t>
        </is>
      </c>
      <c r="J20" s="15" t="inlineStr">
        <is>
          <t>Active</t>
        </is>
      </c>
    </row>
    <row r="21" ht="24" customHeight="1" s="12">
      <c r="A21" s="15" t="inlineStr">
        <is>
          <t>Embedding route</t>
        </is>
      </c>
      <c r="B21" s="15" t="inlineStr">
        <is>
          <t>E5</t>
        </is>
      </c>
      <c r="C21" s="15" t="inlineStr">
        <is>
          <t>Held-out recall (R)</t>
        </is>
      </c>
      <c r="D21" s="15" t="inlineStr">
        <is>
          <t>Of issue-labelled points, the share with a sentence in a cluster credited with that issue.</t>
        </is>
      </c>
      <c r="E21" s="15" t="inlineStr">
        <is>
          <t>&gt;=</t>
        </is>
      </c>
      <c r="F21" s="16" t="n">
        <v>0.6</v>
      </c>
      <c r="G21" s="15" t="inlineStr">
        <is>
          <t>%</t>
        </is>
      </c>
      <c r="H21" s="15" t="inlineStr">
        <is>
          <t>The pv issues bar.</t>
        </is>
      </c>
      <c r="I21" s="15" t="inlineStr">
        <is>
          <t>2026-10-14</t>
        </is>
      </c>
      <c r="J21" s="15" t="inlineStr">
        <is>
          <t>Active</t>
        </is>
      </c>
    </row>
    <row r="22" ht="24" customHeight="1" s="12">
      <c r="A22" s="15" t="inlineStr">
        <is>
          <t>Embedding route</t>
        </is>
      </c>
      <c r="B22" s="15" t="inlineStr">
        <is>
          <t>E6</t>
        </is>
      </c>
      <c r="C22" s="15" t="inlineStr">
        <is>
          <t>Tone clusters</t>
        </is>
      </c>
      <c r="D22" s="15" t="inlineStr">
        <is>
          <t>Clusters with ≥ 3 labelled sentences, most of them general or not a complaint.</t>
        </is>
      </c>
      <c r="E22" s="15" t="inlineStr">
        <is>
          <t>&lt;=</t>
        </is>
      </c>
      <c r="F22" s="17" t="n">
        <v>1</v>
      </c>
      <c r="G22" s="15" t="inlineStr">
        <is>
          <t>count</t>
        </is>
      </c>
      <c r="H22" s="15" t="inlineStr">
        <is>
          <t>The fault that started the LLM work.</t>
        </is>
      </c>
      <c r="I22" s="15" t="inlineStr">
        <is>
          <t>2026-10-14</t>
        </is>
      </c>
      <c r="J22" s="15" t="inlineStr">
        <is>
          <t>Active</t>
        </is>
      </c>
    </row>
    <row r="23" ht="15" customHeight="1" s="12">
      <c r="A23" s="15" t="inlineStr">
        <is>
          <t>Embedding route</t>
        </is>
      </c>
      <c r="B23" s="15" t="inlineStr">
        <is>
          <t>E7</t>
        </is>
      </c>
      <c r="C23" s="15" t="inlineStr">
        <is>
          <t>Grab-bags</t>
        </is>
      </c>
      <c r="D23" s="15" t="inlineStr">
        <is>
          <t>Clusters with ≥ 5 labelled sentences and P &lt; 50%.</t>
        </is>
      </c>
      <c r="E23" s="15" t="inlineStr">
        <is>
          <t>&lt;=</t>
        </is>
      </c>
      <c r="F23" s="17" t="n">
        <v>1</v>
      </c>
      <c r="G23" s="15" t="inlineStr">
        <is>
          <t>count</t>
        </is>
      </c>
      <c r="H23" s="15" t="inlineStr">
        <is>
          <t>As G4.</t>
        </is>
      </c>
      <c r="I23" s="15" t="inlineStr">
        <is>
          <t>2026-10-14</t>
        </is>
      </c>
      <c r="J23" s="15" t="inlineStr">
        <is>
          <t>Active</t>
        </is>
      </c>
    </row>
    <row r="24" ht="15" customHeight="1" s="12">
      <c r="A24" s="15" t="inlineStr">
        <is>
          <t>Embedding route</t>
        </is>
      </c>
      <c r="B24" s="15" t="inlineStr">
        <is>
          <t>E8</t>
        </is>
      </c>
      <c r="C24" s="15" t="inlineStr">
        <is>
          <t>Stability</t>
        </is>
      </c>
      <c r="D24" s="15" t="inlineStr">
        <is>
          <t>Adjusted Rand index between the 5 orders' clusterings.</t>
        </is>
      </c>
      <c r="E24" s="15" t="n"/>
      <c r="F24" s="18" t="n"/>
      <c r="G24" s="15" t="inlineStr">
        <is>
          <t>ARI</t>
        </is>
      </c>
      <c r="H24" s="15" t="inlineStr">
        <is>
          <t>Reported, not gated.</t>
        </is>
      </c>
      <c r="I24" s="15" t="inlineStr">
        <is>
          <t>2026-10-14</t>
        </is>
      </c>
      <c r="J24" s="15" t="inlineStr">
        <is>
          <t>Active</t>
        </is>
      </c>
    </row>
    <row r="25" ht="24" customHeight="1" s="12">
      <c r="A25" s="15" t="inlineStr">
        <is>
          <t>Embedding route</t>
        </is>
      </c>
      <c r="B25" s="15" t="inlineStr">
        <is>
          <t>E9</t>
        </is>
      </c>
      <c r="C25" s="15" t="inlineStr">
        <is>
          <t>Persistence (U5)</t>
        </is>
      </c>
      <c r="D25" s="15" t="inlineStr">
        <is>
          <t>V1 points of issues carried from V2 that land on the issue id born in Feb; no carried issue drifts.</t>
        </is>
      </c>
      <c r="E25" s="15" t="n"/>
      <c r="F25" s="18" t="n"/>
      <c r="G25" s="15" t="n"/>
      <c r="H25" s="15" t="inlineStr">
        <is>
          <t>Stable ids.</t>
        </is>
      </c>
      <c r="I25" s="15" t="inlineStr">
        <is>
          <t>2026-10-14</t>
        </is>
      </c>
      <c r="J25" s="15" t="inlineStr">
        <is>
          <t>Active</t>
        </is>
      </c>
    </row>
  </sheetData>
  <autoFilter ref="A1:J25"/>
  <conditionalFormatting sqref="J2:J25">
    <cfRule type="expression" rank="0" priority="2" equalAverage="0" aboveAverage="0" dxfId="6" text="" percent="0" bottom="0">
      <formula>LEFT(J2,3)="Met"</formula>
    </cfRule>
    <cfRule type="expression" rank="0" priority="3" equalAverage="0" aboveAverage="0" dxfId="6" text="" percent="0" bottom="0">
      <formula>LEFT(J2,4)="Pass"</formula>
    </cfRule>
    <cfRule type="expression" rank="0" priority="4" equalAverage="0" aboveAverage="0" dxfId="6" text="" percent="0" bottom="0">
      <formula>LEFT(J2,6)="Active"</formula>
    </cfRule>
    <cfRule type="expression" rank="0" priority="5" equalAverage="0" aboveAverage="0" dxfId="6" text="" percent="0" bottom="0">
      <formula>LEFT(J2,4)="Kept"</formula>
    </cfRule>
    <cfRule type="expression" rank="0" priority="6" equalAverage="0" aboveAverage="0" dxfId="7" text="" percent="0" bottom="0">
      <formula>LEFT(J2,7)="Partial"</formula>
    </cfRule>
    <cfRule type="expression" rank="0" priority="7" equalAverage="0" aboveAverage="0" dxfId="7" text="" percent="0" bottom="0">
      <formula>LEFT(J2,4)="Open"</formula>
    </cfRule>
    <cfRule type="expression" rank="0" priority="8" equalAverage="0" aboveAverage="0" dxfId="7" text="" percent="0" bottom="0">
      <formula>LEFT(J2,8)="Marginal"</formula>
    </cfRule>
    <cfRule type="expression" rank="0" priority="9" equalAverage="0" aboveAverage="0" dxfId="7" text="" percent="0" bottom="0">
      <formula>LEFT(J2,7)="Revised"</formula>
    </cfRule>
    <cfRule type="expression" rank="0" priority="10" equalAverage="0" aboveAverage="0" dxfId="8" text="" percent="0" bottom="0">
      <formula>LEFT(J2,4)="Fail"</formula>
    </cfRule>
    <cfRule type="expression" rank="0" priority="11" equalAverage="0" aboveAverage="0" dxfId="8" text="" percent="0" bottom="0">
      <formula>LEFT(J2,8)="Not kept"</formula>
    </cfRule>
    <cfRule type="expression" rank="0" priority="12" equalAverage="0" aboveAverage="0" dxfId="9" text="" percent="0" bottom="0">
      <formula>LEFT(J2,10)="Superseded"</formula>
    </cfRule>
    <cfRule type="expression" rank="0" priority="13" equalAverage="0" aboveAverage="0" dxfId="9" text="" percent="0" bottom="0">
      <formula>LEFT(J2,9)="Not built"</formula>
    </cfRule>
    <cfRule type="expression" rank="0" priority="14" equalAverage="0" aboveAverage="0" dxfId="9" text="" percent="0" bottom="0">
      <formula>LEFT(J2,9)="Reference"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453125" defaultRowHeight="15" customHeight="0" zeroHeight="0" outlineLevelRow="0"/>
  <cols>
    <col width="20" customWidth="1" style="11" min="1" max="1"/>
    <col width="7" customWidth="1" style="11" min="2" max="2"/>
    <col width="110" customWidth="1" style="11" min="3" max="3"/>
  </cols>
  <sheetData>
    <row r="1" ht="15" customHeight="1" s="12">
      <c r="A1" s="13" t="inlineStr">
        <is>
          <t>Test</t>
        </is>
      </c>
      <c r="B1" s="13" t="inlineStr">
        <is>
          <t>Rule</t>
        </is>
      </c>
      <c r="C1" s="13" t="inlineStr">
        <is>
          <t>Rule text</t>
        </is>
      </c>
    </row>
    <row r="2" ht="24" customHeight="1" s="12">
      <c r="A2" s="15" t="inlineStr">
        <is>
          <t>Viability test</t>
        </is>
      </c>
      <c r="B2" s="15" t="n">
        <v>1</v>
      </c>
      <c r="C2" s="15" t="inlineStr">
        <is>
          <t>Three 100-review slices run in a chain: V1 builds concepts (in-sample, not gated except G7), V2 and V3 held out, each scored against earlier concepts first.</t>
        </is>
      </c>
    </row>
    <row r="3" ht="24" customHeight="1" s="12">
      <c r="A3" s="15" t="inlineStr">
        <is>
          <t>Viability test</t>
        </is>
      </c>
      <c r="B3" s="15" t="n">
        <v>2</v>
      </c>
      <c r="C3" s="15" t="inlineStr">
        <is>
          <t>Gold labels written before looking at the model's matches; blind and corrected figures both reported when labels are revised in the model's favour.</t>
        </is>
      </c>
    </row>
    <row r="4" ht="15" customHeight="1" s="12">
      <c r="A4" s="15" t="inlineStr">
        <is>
          <t>Viability test</t>
        </is>
      </c>
      <c r="B4" s="15" t="n">
        <v>3</v>
      </c>
      <c r="C4" s="15" t="inlineStr">
        <is>
          <t>A broad concept's matches count as misses in G2 and G7.</t>
        </is>
      </c>
    </row>
    <row r="5" ht="15" customHeight="1" s="12">
      <c r="A5" s="15" t="inlineStr">
        <is>
          <t>Viability test</t>
        </is>
      </c>
      <c r="B5" s="15" t="n">
        <v>4</v>
      </c>
      <c r="C5" s="15" t="inlineStr">
        <is>
          <t>Uncovered points are reported, not gated.</t>
        </is>
      </c>
    </row>
    <row r="6" ht="15" customHeight="1" s="12">
      <c r="A6" s="15" t="inlineStr">
        <is>
          <t>Viability re-run</t>
        </is>
      </c>
      <c r="B6" s="15" t="n">
        <v>1</v>
      </c>
      <c r="C6" s="15" t="inlineStr">
        <is>
          <t>Settings fixed before any run; the breadth prompt may be tuned on V1 only.</t>
        </is>
      </c>
    </row>
    <row r="7" ht="15" customHeight="1" s="12">
      <c r="A7" s="15" t="inlineStr">
        <is>
          <t>Viability re-run</t>
        </is>
      </c>
      <c r="B7" s="15" t="n">
        <v>2</v>
      </c>
      <c r="C7" s="15" t="inlineStr">
        <is>
          <t>Gate revisions made after V1 and before V2 was labelled, and recorded with dates.</t>
        </is>
      </c>
    </row>
    <row r="8" ht="15" customHeight="1" s="12">
      <c r="A8" s="15" t="inlineStr">
        <is>
          <t>Cost controls</t>
        </is>
      </c>
      <c r="B8" s="15" t="n">
        <v>1</v>
      </c>
      <c r="C8" s="15" t="inlineStr">
        <is>
          <t>Controls that change what the model is asked are re-validated on the local model against the same gold labels before use.</t>
        </is>
      </c>
    </row>
    <row r="9" ht="15" customHeight="1" s="12">
      <c r="A9" s="15" t="inlineStr">
        <is>
          <t>Scorer tuning</t>
        </is>
      </c>
      <c r="B9" s="15" t="n">
        <v>1</v>
      </c>
      <c r="C9" s="15" t="inlineStr">
        <is>
          <t>Tune on V1 only, at most two variants and their combination; no rewording after seeing per-concept results.</t>
        </is>
      </c>
    </row>
    <row r="10" ht="15" customHeight="1" s="12">
      <c r="A10" s="15" t="inlineStr">
        <is>
          <t>Scorer tuning</t>
        </is>
      </c>
      <c r="B10" s="15" t="n">
        <v>2</v>
      </c>
      <c r="C10" s="15" t="inlineStr">
        <is>
          <t>The same prompt for both models.</t>
        </is>
      </c>
    </row>
    <row r="11" ht="15" customHeight="1" s="12">
      <c r="A11" s="15" t="inlineStr">
        <is>
          <t>Scorer tuning</t>
        </is>
      </c>
      <c r="B11" s="15" t="n">
        <v>3</v>
      </c>
      <c r="C11" s="15" t="inlineStr">
        <is>
          <t>The kept variant runs once on held-out V2; then one end-to-end pv issues run if the scorer passes.</t>
        </is>
      </c>
    </row>
    <row r="12" ht="15" customHeight="1" s="12">
      <c r="A12" s="15" t="inlineStr">
        <is>
          <t>Scorer tuning</t>
        </is>
      </c>
      <c r="B12" s="15" t="n">
        <v>4</v>
      </c>
      <c r="C12" s="15" t="inlineStr">
        <is>
          <t>OpenAI spend capped at $3; nano first, mini only for the final variant.</t>
        </is>
      </c>
    </row>
    <row r="13" ht="15" customHeight="1" s="12">
      <c r="A13" s="15" t="inlineStr">
        <is>
          <t>Embedding route</t>
        </is>
      </c>
      <c r="B13" s="15" t="n">
        <v>1</v>
      </c>
      <c r="C13" s="15" t="inlineStr">
        <is>
          <t>Tune on V1 only, at most 3 variants of the stack, every variant reported.</t>
        </is>
      </c>
    </row>
    <row r="14" ht="15" customHeight="1" s="12">
      <c r="A14" s="15" t="inlineStr">
        <is>
          <t>Embedding route</t>
        </is>
      </c>
      <c r="B14" s="15" t="n">
        <v>2</v>
      </c>
      <c r="C14" s="15" t="inlineStr">
        <is>
          <t>Each run in 5 shuffled input orders, reported as median and range.</t>
        </is>
      </c>
    </row>
    <row r="15" ht="15" customHeight="1" s="12">
      <c r="A15" s="15" t="inlineStr">
        <is>
          <t>Embedding route</t>
        </is>
      </c>
      <c r="B15" s="15" t="n">
        <v>3</v>
      </c>
      <c r="C15" s="15" t="inlineStr">
        <is>
          <t>The final stack runs once on the held-out window (V2).</t>
        </is>
      </c>
    </row>
    <row r="16" ht="15" customHeight="1" s="12">
      <c r="A16" s="15" t="inlineStr">
        <is>
          <t>Embedding route</t>
        </is>
      </c>
      <c r="B16" s="15" t="n">
        <v>4</v>
      </c>
      <c r="C16" s="15" t="inlineStr">
        <is>
          <t>A trial stops once its main measure clearly fails.</t>
        </is>
      </c>
    </row>
    <row r="17" ht="15" customHeight="1" s="12">
      <c r="A17" s="15" t="inlineStr">
        <is>
          <t>Embedding route</t>
        </is>
      </c>
      <c r="B17" s="15" t="n">
        <v>5</v>
      </c>
      <c r="C17" s="15" t="inlineStr">
        <is>
          <t>Hand judgments are made by Claude, a larger model than the one under test.</t>
        </is>
      </c>
    </row>
    <row r="18" ht="15" customHeight="1" s="12">
      <c r="A18" s="15" t="inlineStr">
        <is>
          <t>All trials</t>
        </is>
      </c>
      <c r="B18" s="15" t="n">
        <v>1</v>
      </c>
      <c r="C18" s="15" t="inlineStr">
        <is>
          <t>Model calls cached by request, options included in the key.</t>
        </is>
      </c>
    </row>
  </sheetData>
  <autoFilter ref="A1:C18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453125" defaultRowHeight="15" customHeight="0" zeroHeight="0" outlineLevelRow="0"/>
  <cols>
    <col width="18" customWidth="1" style="11" min="1" max="1"/>
    <col width="11" customWidth="1" style="11" min="2" max="2"/>
    <col width="30" customWidth="1" style="11" min="3" max="3"/>
    <col width="18" customWidth="1" style="11" min="4" max="4"/>
    <col width="10" customWidth="1" style="11" min="5" max="5"/>
    <col width="7" customWidth="1" style="11" min="6" max="6"/>
    <col width="9" customWidth="1" style="11" min="7" max="7"/>
    <col width="11" customWidth="1" style="11" min="8" max="8"/>
    <col width="8" customWidth="1" style="11" min="9" max="9"/>
    <col width="7" customWidth="1" style="11" min="10" max="10"/>
    <col width="10" customWidth="1" style="11" min="11" max="11"/>
    <col width="14" customWidth="1" style="11" min="12" max="12"/>
    <col width="50" customWidth="1" style="11" min="13" max="13"/>
  </cols>
  <sheetData>
    <row r="1" ht="24" customHeight="1" s="12">
      <c r="A1" s="13" t="inlineStr">
        <is>
          <t>Test</t>
        </is>
      </c>
      <c r="B1" s="13" t="inlineStr">
        <is>
          <t>Date</t>
        </is>
      </c>
      <c r="C1" s="13" t="inlineStr">
        <is>
          <t>Run</t>
        </is>
      </c>
      <c r="D1" s="13" t="inlineStr">
        <is>
          <t>Slice</t>
        </is>
      </c>
      <c r="E1" s="13" t="inlineStr">
        <is>
          <t>Gated?</t>
        </is>
      </c>
      <c r="F1" s="13" t="inlineStr">
        <is>
          <t>Gate</t>
        </is>
      </c>
      <c r="G1" s="13" t="inlineStr">
        <is>
          <t>Value</t>
        </is>
      </c>
      <c r="H1" s="13" t="inlineStr">
        <is>
          <t>Comparator</t>
        </is>
      </c>
      <c r="I1" s="13" t="inlineStr">
        <is>
          <t>Bar</t>
        </is>
      </c>
      <c r="J1" s="13" t="inlineStr">
        <is>
          <t>Unit</t>
        </is>
      </c>
      <c r="K1" s="13" t="inlineStr">
        <is>
          <t>Meets bar</t>
        </is>
      </c>
      <c r="L1" s="13" t="inlineStr">
        <is>
          <t>Verdict as recorded</t>
        </is>
      </c>
      <c r="M1" s="13" t="inlineStr">
        <is>
          <t>Note</t>
        </is>
      </c>
    </row>
    <row r="2" ht="24" customHeight="1" s="12">
      <c r="A2" s="15" t="inlineStr">
        <is>
          <t>Viability test</t>
        </is>
      </c>
      <c r="B2" s="15" t="inlineStr">
        <is>
          <t>2026-10-13</t>
        </is>
      </c>
      <c r="C2" s="15" t="inlineStr">
        <is>
          <t>viab-v1</t>
        </is>
      </c>
      <c r="D2" s="15" t="inlineStr">
        <is>
          <t>V1</t>
        </is>
      </c>
      <c r="E2" s="15" t="inlineStr">
        <is>
          <t>No</t>
        </is>
      </c>
      <c r="F2" s="15" t="inlineStr">
        <is>
          <t>G1</t>
        </is>
      </c>
      <c r="G2" s="20" t="n">
        <v>1</v>
      </c>
      <c r="H2" s="15" t="inlineStr">
        <is>
          <t>&gt;=</t>
        </is>
      </c>
      <c r="I2" s="20" t="n">
        <v>0.98</v>
      </c>
      <c r="J2" s="15" t="inlineStr">
        <is>
          <t>%</t>
        </is>
      </c>
      <c r="K2" s="15">
        <f>IF(OR(G2="",H2="",I2=""),"",IF(H2="&gt;=",IF(G2&gt;=I2,"Pass","Fail"),IF(G2&lt;=I2,"Pass","Fail")))</f>
        <v/>
      </c>
      <c r="L2" s="15" t="inlineStr">
        <is>
          <t>Reference (in-sample)</t>
        </is>
      </c>
      <c r="M2" s="15" t="n"/>
    </row>
    <row r="3" ht="24" customHeight="1" s="12">
      <c r="A3" s="15" t="inlineStr">
        <is>
          <t>Viability test</t>
        </is>
      </c>
      <c r="B3" s="15" t="inlineStr">
        <is>
          <t>2026-10-13</t>
        </is>
      </c>
      <c r="C3" s="15" t="inlineStr">
        <is>
          <t>viab-v1</t>
        </is>
      </c>
      <c r="D3" s="15" t="inlineStr">
        <is>
          <t>V1</t>
        </is>
      </c>
      <c r="E3" s="15" t="inlineStr">
        <is>
          <t>No</t>
        </is>
      </c>
      <c r="F3" s="15" t="inlineStr">
        <is>
          <t>G2</t>
        </is>
      </c>
      <c r="G3" s="20" t="n">
        <v>0.63</v>
      </c>
      <c r="H3" s="15" t="inlineStr">
        <is>
          <t>&gt;=</t>
        </is>
      </c>
      <c r="I3" s="20" t="n">
        <v>0.75</v>
      </c>
      <c r="J3" s="15" t="inlineStr">
        <is>
          <t>%</t>
        </is>
      </c>
      <c r="K3" s="15">
        <f>IF(OR(G3="",H3="",I3=""),"",IF(H3="&gt;=",IF(G3&gt;=I3,"Pass","Fail"),IF(G3&lt;=I3,"Pass","Fail")))</f>
        <v/>
      </c>
      <c r="L3" s="15" t="inlineStr">
        <is>
          <t>Reference (in-sample)</t>
        </is>
      </c>
      <c r="M3" s="15" t="inlineStr">
        <is>
          <t>55% blind, 63% after correction</t>
        </is>
      </c>
    </row>
    <row r="4" ht="24" customHeight="1" s="12">
      <c r="A4" s="15" t="inlineStr">
        <is>
          <t>Viability test</t>
        </is>
      </c>
      <c r="B4" s="15" t="inlineStr">
        <is>
          <t>2026-10-13</t>
        </is>
      </c>
      <c r="C4" s="15" t="inlineStr">
        <is>
          <t>viab-v1</t>
        </is>
      </c>
      <c r="D4" s="15" t="inlineStr">
        <is>
          <t>V1</t>
        </is>
      </c>
      <c r="E4" s="15" t="inlineStr">
        <is>
          <t>No</t>
        </is>
      </c>
      <c r="F4" s="15" t="inlineStr">
        <is>
          <t>G3</t>
        </is>
      </c>
      <c r="G4" s="20" t="n">
        <v>0.755</v>
      </c>
      <c r="H4" s="15" t="inlineStr">
        <is>
          <t>&gt;=</t>
        </is>
      </c>
      <c r="I4" s="20" t="n">
        <v>0.6</v>
      </c>
      <c r="J4" s="15" t="inlineStr">
        <is>
          <t>%</t>
        </is>
      </c>
      <c r="K4" s="15">
        <f>IF(OR(G4="",H4="",I4=""),"",IF(H4="&gt;=",IF(G4&gt;=I4,"Pass","Fail"),IF(G4&lt;=I4,"Pass","Fail")))</f>
        <v/>
      </c>
      <c r="L4" s="15" t="inlineStr">
        <is>
          <t>Reference (in-sample)</t>
        </is>
      </c>
      <c r="M4" s="15" t="inlineStr">
        <is>
          <t>75–76%</t>
        </is>
      </c>
    </row>
    <row r="5" ht="24" customHeight="1" s="12">
      <c r="A5" s="15" t="inlineStr">
        <is>
          <t>Viability test</t>
        </is>
      </c>
      <c r="B5" s="15" t="inlineStr">
        <is>
          <t>2026-10-13</t>
        </is>
      </c>
      <c r="C5" s="15" t="inlineStr">
        <is>
          <t>viab-v1</t>
        </is>
      </c>
      <c r="D5" s="15" t="inlineStr">
        <is>
          <t>V1</t>
        </is>
      </c>
      <c r="E5" s="15" t="inlineStr">
        <is>
          <t>No</t>
        </is>
      </c>
      <c r="F5" s="15" t="inlineStr">
        <is>
          <t>G4</t>
        </is>
      </c>
      <c r="G5" s="17" t="n">
        <v>4</v>
      </c>
      <c r="H5" s="15" t="inlineStr">
        <is>
          <t>&lt;=</t>
        </is>
      </c>
      <c r="I5" s="17" t="n">
        <v>1</v>
      </c>
      <c r="J5" s="15" t="inlineStr">
        <is>
          <t>count</t>
        </is>
      </c>
      <c r="K5" s="15">
        <f>IF(OR(G5="",H5="",I5=""),"",IF(H5="&gt;=",IF(G5&gt;=I5,"Pass","Fail"),IF(G5&lt;=I5,"Pass","Fail")))</f>
        <v/>
      </c>
      <c r="L5" s="15" t="inlineStr">
        <is>
          <t>Reference (in-sample)</t>
        </is>
      </c>
      <c r="M5" s="15" t="n"/>
    </row>
    <row r="6" ht="24" customHeight="1" s="12">
      <c r="A6" s="15" t="inlineStr">
        <is>
          <t>Viability test</t>
        </is>
      </c>
      <c r="B6" s="15" t="inlineStr">
        <is>
          <t>2026-10-13</t>
        </is>
      </c>
      <c r="C6" s="15" t="inlineStr">
        <is>
          <t>viab-v1</t>
        </is>
      </c>
      <c r="D6" s="15" t="inlineStr">
        <is>
          <t>V1</t>
        </is>
      </c>
      <c r="E6" s="15" t="inlineStr">
        <is>
          <t>No</t>
        </is>
      </c>
      <c r="F6" s="15" t="inlineStr">
        <is>
          <t>G5</t>
        </is>
      </c>
      <c r="G6" s="20" t="n">
        <v>0</v>
      </c>
      <c r="H6" s="15" t="inlineStr">
        <is>
          <t>&lt;=</t>
        </is>
      </c>
      <c r="I6" s="20" t="n">
        <v>0.1</v>
      </c>
      <c r="J6" s="15" t="inlineStr">
        <is>
          <t>%</t>
        </is>
      </c>
      <c r="K6" s="15">
        <f>IF(OR(G6="",H6="",I6=""),"",IF(H6="&gt;=",IF(G6&gt;=I6,"Pass","Fail"),IF(G6&lt;=I6,"Pass","Fail")))</f>
        <v/>
      </c>
      <c r="L6" s="15" t="inlineStr">
        <is>
          <t>Reference (in-sample)</t>
        </is>
      </c>
      <c r="M6" s="15" t="n"/>
    </row>
    <row r="7" ht="15" customHeight="1" s="12">
      <c r="A7" s="15" t="inlineStr">
        <is>
          <t>Viability test</t>
        </is>
      </c>
      <c r="B7" s="15" t="inlineStr">
        <is>
          <t>2026-10-13</t>
        </is>
      </c>
      <c r="C7" s="15" t="inlineStr">
        <is>
          <t>viab-v1</t>
        </is>
      </c>
      <c r="D7" s="15" t="inlineStr">
        <is>
          <t>V1</t>
        </is>
      </c>
      <c r="E7" s="15" t="inlineStr">
        <is>
          <t>Yes</t>
        </is>
      </c>
      <c r="F7" s="15" t="inlineStr">
        <is>
          <t>G7</t>
        </is>
      </c>
      <c r="G7" s="21" t="n">
        <v>20</v>
      </c>
      <c r="H7" s="15" t="inlineStr">
        <is>
          <t>&gt;=</t>
        </is>
      </c>
      <c r="I7" s="21" t="n">
        <v>15</v>
      </c>
      <c r="J7" s="15" t="inlineStr">
        <is>
          <t>pts</t>
        </is>
      </c>
      <c r="K7" s="15">
        <f>IF(OR(G7="",H7="",I7=""),"",IF(H7="&gt;=",IF(G7&gt;=I7,"Pass","Fail"),IF(G7&lt;=I7,"Pass","Fail")))</f>
        <v/>
      </c>
      <c r="L7" s="15" t="inlineStr">
        <is>
          <t>Pass</t>
        </is>
      </c>
      <c r="M7" s="15" t="inlineStr">
        <is>
          <t>+12 blind, +20 after correction</t>
        </is>
      </c>
    </row>
    <row r="8" ht="15" customHeight="1" s="12">
      <c r="A8" s="15" t="inlineStr">
        <is>
          <t>Viability test</t>
        </is>
      </c>
      <c r="B8" s="15" t="inlineStr">
        <is>
          <t>2026-10-13</t>
        </is>
      </c>
      <c r="C8" s="15" t="inlineStr">
        <is>
          <t>viab-v2</t>
        </is>
      </c>
      <c r="D8" s="15" t="inlineStr">
        <is>
          <t>V2</t>
        </is>
      </c>
      <c r="E8" s="15" t="inlineStr">
        <is>
          <t>Yes</t>
        </is>
      </c>
      <c r="F8" s="15" t="inlineStr">
        <is>
          <t>G1</t>
        </is>
      </c>
      <c r="G8" s="20" t="n">
        <v>0.978</v>
      </c>
      <c r="H8" s="15" t="inlineStr">
        <is>
          <t>&gt;=</t>
        </is>
      </c>
      <c r="I8" s="20" t="n">
        <v>0.98</v>
      </c>
      <c r="J8" s="15" t="inlineStr">
        <is>
          <t>%</t>
        </is>
      </c>
      <c r="K8" s="15">
        <f>IF(OR(G8="",H8="",I8=""),"",IF(H8="&gt;=",IF(G8&gt;=I8,"Pass","Fail"),IF(G8&lt;=I8,"Pass","Fail")))</f>
        <v/>
      </c>
      <c r="L8" s="15" t="inlineStr">
        <is>
          <t>Fail</t>
        </is>
      </c>
      <c r="M8" s="15" t="inlineStr">
        <is>
          <t>First reported as 100%, unchecked</t>
        </is>
      </c>
    </row>
    <row r="9" ht="15" customHeight="1" s="12">
      <c r="A9" s="15" t="inlineStr">
        <is>
          <t>Viability test</t>
        </is>
      </c>
      <c r="B9" s="15" t="inlineStr">
        <is>
          <t>2026-10-13</t>
        </is>
      </c>
      <c r="C9" s="15" t="inlineStr">
        <is>
          <t>viab-v2</t>
        </is>
      </c>
      <c r="D9" s="15" t="inlineStr">
        <is>
          <t>V2</t>
        </is>
      </c>
      <c r="E9" s="15" t="inlineStr">
        <is>
          <t>Yes</t>
        </is>
      </c>
      <c r="F9" s="15" t="inlineStr">
        <is>
          <t>G2</t>
        </is>
      </c>
      <c r="G9" s="20" t="n">
        <v>0.39</v>
      </c>
      <c r="H9" s="15" t="inlineStr">
        <is>
          <t>&gt;=</t>
        </is>
      </c>
      <c r="I9" s="20" t="n">
        <v>0.75</v>
      </c>
      <c r="J9" s="15" t="inlineStr">
        <is>
          <t>%</t>
        </is>
      </c>
      <c r="K9" s="15">
        <f>IF(OR(G9="",H9="",I9=""),"",IF(H9="&gt;=",IF(G9&gt;=I9,"Pass","Fail"),IF(G9&lt;=I9,"Pass","Fail")))</f>
        <v/>
      </c>
      <c r="L9" s="15" t="inlineStr">
        <is>
          <t>Fail</t>
        </is>
      </c>
      <c r="M9" s="15" t="inlineStr">
        <is>
          <t>34 of 88</t>
        </is>
      </c>
    </row>
    <row r="10" ht="15" customHeight="1" s="12">
      <c r="A10" s="15" t="inlineStr">
        <is>
          <t>Viability test</t>
        </is>
      </c>
      <c r="B10" s="15" t="inlineStr">
        <is>
          <t>2026-10-13</t>
        </is>
      </c>
      <c r="C10" s="15" t="inlineStr">
        <is>
          <t>viab-v2</t>
        </is>
      </c>
      <c r="D10" s="15" t="inlineStr">
        <is>
          <t>V2</t>
        </is>
      </c>
      <c r="E10" s="15" t="inlineStr">
        <is>
          <t>Yes</t>
        </is>
      </c>
      <c r="F10" s="15" t="inlineStr">
        <is>
          <t>G4</t>
        </is>
      </c>
      <c r="G10" s="17" t="n">
        <v>2</v>
      </c>
      <c r="H10" s="15" t="inlineStr">
        <is>
          <t>&lt;=</t>
        </is>
      </c>
      <c r="I10" s="17" t="n">
        <v>1</v>
      </c>
      <c r="J10" s="15" t="inlineStr">
        <is>
          <t>count</t>
        </is>
      </c>
      <c r="K10" s="15">
        <f>IF(OR(G10="",H10="",I10=""),"",IF(H10="&gt;=",IF(G10&gt;=I10,"Pass","Fail"),IF(G10&lt;=I10,"Pass","Fail")))</f>
        <v/>
      </c>
      <c r="L10" s="15" t="inlineStr">
        <is>
          <t>Fail</t>
        </is>
      </c>
      <c r="M10" s="15" t="n"/>
    </row>
    <row r="11" ht="15" customHeight="1" s="12">
      <c r="A11" s="15" t="inlineStr">
        <is>
          <t>Viability test</t>
        </is>
      </c>
      <c r="B11" s="15" t="inlineStr">
        <is>
          <t>2026-10-13</t>
        </is>
      </c>
      <c r="C11" s="15" t="inlineStr">
        <is>
          <t>viab-v2</t>
        </is>
      </c>
      <c r="D11" s="15" t="inlineStr">
        <is>
          <t>V2</t>
        </is>
      </c>
      <c r="E11" s="15" t="inlineStr">
        <is>
          <t>Yes</t>
        </is>
      </c>
      <c r="F11" s="15" t="inlineStr">
        <is>
          <t>G5</t>
        </is>
      </c>
      <c r="G11" s="20" t="n">
        <v>0</v>
      </c>
      <c r="H11" s="15" t="inlineStr">
        <is>
          <t>&lt;=</t>
        </is>
      </c>
      <c r="I11" s="20" t="n">
        <v>0.1</v>
      </c>
      <c r="J11" s="15" t="inlineStr">
        <is>
          <t>%</t>
        </is>
      </c>
      <c r="K11" s="15">
        <f>IF(OR(G11="",H11="",I11=""),"",IF(H11="&gt;=",IF(G11&gt;=I11,"Pass","Fail"),IF(G11&lt;=I11,"Pass","Fail")))</f>
        <v/>
      </c>
      <c r="L11" s="15" t="inlineStr">
        <is>
          <t>Pass</t>
        </is>
      </c>
      <c r="M11" s="15" t="n"/>
    </row>
    <row r="12" ht="15" customHeight="1" s="12">
      <c r="A12" s="15" t="inlineStr">
        <is>
          <t>Viability test</t>
        </is>
      </c>
      <c r="B12" s="15" t="inlineStr">
        <is>
          <t>2026-10-13</t>
        </is>
      </c>
      <c r="C12" s="15" t="inlineStr">
        <is>
          <t>viab-v2</t>
        </is>
      </c>
      <c r="D12" s="15" t="inlineStr">
        <is>
          <t>V2</t>
        </is>
      </c>
      <c r="E12" s="15" t="inlineStr">
        <is>
          <t>Yes</t>
        </is>
      </c>
      <c r="F12" s="15" t="inlineStr">
        <is>
          <t>G6</t>
        </is>
      </c>
      <c r="G12" s="17" t="n">
        <v>0</v>
      </c>
      <c r="H12" s="15" t="inlineStr">
        <is>
          <t>&lt;=</t>
        </is>
      </c>
      <c r="I12" s="17" t="n">
        <v>1</v>
      </c>
      <c r="J12" s="15" t="inlineStr">
        <is>
          <t>count</t>
        </is>
      </c>
      <c r="K12" s="15">
        <f>IF(OR(G12="",H12="",I12=""),"",IF(H12="&gt;=",IF(G12&gt;=I12,"Pass","Fail"),IF(G12&lt;=I12,"Pass","Fail")))</f>
        <v/>
      </c>
      <c r="L12" s="15" t="inlineStr">
        <is>
          <t>Pass</t>
        </is>
      </c>
      <c r="M12" s="15" t="inlineStr">
        <is>
          <t>But carried C038 absorbed new concepts; G6 did not catch it</t>
        </is>
      </c>
    </row>
    <row r="13" ht="15" customHeight="1" s="12">
      <c r="A13" s="15" t="inlineStr">
        <is>
          <t>Viability test</t>
        </is>
      </c>
      <c r="B13" s="15" t="inlineStr">
        <is>
          <t>2026-10-13</t>
        </is>
      </c>
      <c r="C13" s="15" t="inlineStr">
        <is>
          <t>—</t>
        </is>
      </c>
      <c r="D13" s="15" t="inlineStr">
        <is>
          <t>V3</t>
        </is>
      </c>
      <c r="E13" s="15" t="inlineStr">
        <is>
          <t>Yes</t>
        </is>
      </c>
      <c r="F13" s="15" t="inlineStr">
        <is>
          <t>Pass</t>
        </is>
      </c>
      <c r="G13" s="18" t="n"/>
      <c r="H13" s="15" t="n"/>
      <c r="I13" s="18" t="n"/>
      <c r="J13" s="15" t="n"/>
      <c r="K13" s="15">
        <f>IF(OR(G13="",H13="",I13=""),"",IF(H13="&gt;=",IF(G13&gt;=I13,"Pass","Fail"),IF(G13&lt;=I13,"Pass","Fail")))</f>
        <v/>
      </c>
      <c r="L13" s="15" t="inlineStr">
        <is>
          <t>Fail</t>
        </is>
      </c>
      <c r="M13" s="15" t="inlineStr">
        <is>
          <t>V3 not run: V2 failed</t>
        </is>
      </c>
    </row>
    <row r="14" ht="24" customHeight="1" s="12">
      <c r="A14" s="15" t="inlineStr">
        <is>
          <t>Viability re-run</t>
        </is>
      </c>
      <c r="B14" s="15" t="inlineStr">
        <is>
          <t>2026-10-13</t>
        </is>
      </c>
      <c r="C14" s="15" t="inlineStr">
        <is>
          <t>sel-v1</t>
        </is>
      </c>
      <c r="D14" s="15" t="inlineStr">
        <is>
          <t>V1</t>
        </is>
      </c>
      <c r="E14" s="15" t="inlineStr">
        <is>
          <t>No</t>
        </is>
      </c>
      <c r="F14" s="15" t="inlineStr">
        <is>
          <t>G1</t>
        </is>
      </c>
      <c r="G14" s="20" t="n">
        <v>1</v>
      </c>
      <c r="H14" s="15" t="inlineStr">
        <is>
          <t>&gt;=</t>
        </is>
      </c>
      <c r="I14" s="20" t="n">
        <v>0.98</v>
      </c>
      <c r="J14" s="15" t="inlineStr">
        <is>
          <t>%</t>
        </is>
      </c>
      <c r="K14" s="15">
        <f>IF(OR(G14="",H14="",I14=""),"",IF(H14="&gt;=",IF(G14&gt;=I14,"Pass","Fail"),IF(G14&lt;=I14,"Pass","Fail")))</f>
        <v/>
      </c>
      <c r="L14" s="15" t="inlineStr">
        <is>
          <t>Reference (in-sample)</t>
        </is>
      </c>
      <c r="M14" s="15" t="n"/>
    </row>
    <row r="15" ht="24" customHeight="1" s="12">
      <c r="A15" s="15" t="inlineStr">
        <is>
          <t>Viability re-run</t>
        </is>
      </c>
      <c r="B15" s="15" t="inlineStr">
        <is>
          <t>2026-10-13</t>
        </is>
      </c>
      <c r="C15" s="15" t="inlineStr">
        <is>
          <t>sel-v1</t>
        </is>
      </c>
      <c r="D15" s="15" t="inlineStr">
        <is>
          <t>V1</t>
        </is>
      </c>
      <c r="E15" s="15" t="inlineStr">
        <is>
          <t>No</t>
        </is>
      </c>
      <c r="F15" s="15" t="inlineStr">
        <is>
          <t>G2</t>
        </is>
      </c>
      <c r="G15" s="20" t="n">
        <v>0.63</v>
      </c>
      <c r="H15" s="15" t="inlineStr">
        <is>
          <t>&gt;=</t>
        </is>
      </c>
      <c r="I15" s="20" t="n">
        <v>0.6</v>
      </c>
      <c r="J15" s="15" t="inlineStr">
        <is>
          <t>%</t>
        </is>
      </c>
      <c r="K15" s="15">
        <f>IF(OR(G15="",H15="",I15=""),"",IF(H15="&gt;=",IF(G15&gt;=I15,"Pass","Fail"),IF(G15&lt;=I15,"Pass","Fail")))</f>
        <v/>
      </c>
      <c r="L15" s="15" t="inlineStr">
        <is>
          <t>Reference (in-sample)</t>
        </is>
      </c>
      <c r="M15" s="15" t="n"/>
    </row>
    <row r="16" ht="24" customHeight="1" s="12">
      <c r="A16" s="15" t="inlineStr">
        <is>
          <t>Viability re-run</t>
        </is>
      </c>
      <c r="B16" s="15" t="inlineStr">
        <is>
          <t>2026-10-13</t>
        </is>
      </c>
      <c r="C16" s="15" t="inlineStr">
        <is>
          <t>sel-v1</t>
        </is>
      </c>
      <c r="D16" s="15" t="inlineStr">
        <is>
          <t>V1</t>
        </is>
      </c>
      <c r="E16" s="15" t="inlineStr">
        <is>
          <t>No</t>
        </is>
      </c>
      <c r="F16" s="15" t="inlineStr">
        <is>
          <t>G3</t>
        </is>
      </c>
      <c r="G16" s="20" t="n">
        <v>0.77</v>
      </c>
      <c r="H16" s="15" t="inlineStr">
        <is>
          <t>&gt;=</t>
        </is>
      </c>
      <c r="I16" s="20" t="n">
        <v>0.6</v>
      </c>
      <c r="J16" s="15" t="inlineStr">
        <is>
          <t>%</t>
        </is>
      </c>
      <c r="K16" s="15">
        <f>IF(OR(G16="",H16="",I16=""),"",IF(H16="&gt;=",IF(G16&gt;=I16,"Pass","Fail"),IF(G16&lt;=I16,"Pass","Fail")))</f>
        <v/>
      </c>
      <c r="L16" s="15" t="inlineStr">
        <is>
          <t>Reference (in-sample)</t>
        </is>
      </c>
      <c r="M16" s="15" t="n"/>
    </row>
    <row r="17" ht="24" customHeight="1" s="12">
      <c r="A17" s="15" t="inlineStr">
        <is>
          <t>Viability re-run</t>
        </is>
      </c>
      <c r="B17" s="15" t="inlineStr">
        <is>
          <t>2026-10-13</t>
        </is>
      </c>
      <c r="C17" s="15" t="inlineStr">
        <is>
          <t>sel-v1</t>
        </is>
      </c>
      <c r="D17" s="15" t="inlineStr">
        <is>
          <t>V1</t>
        </is>
      </c>
      <c r="E17" s="15" t="inlineStr">
        <is>
          <t>No</t>
        </is>
      </c>
      <c r="F17" s="15" t="inlineStr">
        <is>
          <t>G4</t>
        </is>
      </c>
      <c r="G17" s="17" t="n">
        <v>1</v>
      </c>
      <c r="H17" s="15" t="inlineStr">
        <is>
          <t>&lt;=</t>
        </is>
      </c>
      <c r="I17" s="17" t="n">
        <v>1</v>
      </c>
      <c r="J17" s="15" t="inlineStr">
        <is>
          <t>count</t>
        </is>
      </c>
      <c r="K17" s="15">
        <f>IF(OR(G17="",H17="",I17=""),"",IF(H17="&gt;=",IF(G17&gt;=I17,"Pass","Fail"),IF(G17&lt;=I17,"Pass","Fail")))</f>
        <v/>
      </c>
      <c r="L17" s="15" t="inlineStr">
        <is>
          <t>Reference (in-sample)</t>
        </is>
      </c>
      <c r="M17" s="15" t="n"/>
    </row>
    <row r="18" ht="24" customHeight="1" s="12">
      <c r="A18" s="15" t="inlineStr">
        <is>
          <t>Viability re-run</t>
        </is>
      </c>
      <c r="B18" s="15" t="inlineStr">
        <is>
          <t>2026-10-13</t>
        </is>
      </c>
      <c r="C18" s="15" t="inlineStr">
        <is>
          <t>sel-v1</t>
        </is>
      </c>
      <c r="D18" s="15" t="inlineStr">
        <is>
          <t>V1</t>
        </is>
      </c>
      <c r="E18" s="15" t="inlineStr">
        <is>
          <t>No</t>
        </is>
      </c>
      <c r="F18" s="15" t="inlineStr">
        <is>
          <t>G5</t>
        </is>
      </c>
      <c r="G18" s="20" t="n">
        <v>0</v>
      </c>
      <c r="H18" s="15" t="inlineStr">
        <is>
          <t>&lt;=</t>
        </is>
      </c>
      <c r="I18" s="20" t="n">
        <v>0.1</v>
      </c>
      <c r="J18" s="15" t="inlineStr">
        <is>
          <t>%</t>
        </is>
      </c>
      <c r="K18" s="15">
        <f>IF(OR(G18="",H18="",I18=""),"",IF(H18="&gt;=",IF(G18&gt;=I18,"Pass","Fail"),IF(G18&lt;=I18,"Pass","Fail")))</f>
        <v/>
      </c>
      <c r="L18" s="15" t="inlineStr">
        <is>
          <t>Reference (in-sample)</t>
        </is>
      </c>
      <c r="M18" s="15" t="n"/>
    </row>
    <row r="19" ht="15" customHeight="1" s="12">
      <c r="A19" s="15" t="inlineStr">
        <is>
          <t>Viability re-run</t>
        </is>
      </c>
      <c r="B19" s="15" t="inlineStr">
        <is>
          <t>2026-10-13</t>
        </is>
      </c>
      <c r="C19" s="15" t="inlineStr">
        <is>
          <t>sel-v1</t>
        </is>
      </c>
      <c r="D19" s="15" t="inlineStr">
        <is>
          <t>V1</t>
        </is>
      </c>
      <c r="E19" s="15" t="inlineStr">
        <is>
          <t>Yes</t>
        </is>
      </c>
      <c r="F19" s="15" t="inlineStr">
        <is>
          <t>G7</t>
        </is>
      </c>
      <c r="G19" s="21" t="n">
        <v>20</v>
      </c>
      <c r="H19" s="15" t="inlineStr">
        <is>
          <t>&gt;=</t>
        </is>
      </c>
      <c r="I19" s="21" t="n">
        <v>15</v>
      </c>
      <c r="J19" s="15" t="inlineStr">
        <is>
          <t>pts</t>
        </is>
      </c>
      <c r="K19" s="15">
        <f>IF(OR(G19="",H19="",I19=""),"",IF(H19="&gt;=",IF(G19&gt;=I19,"Pass","Fail"),IF(G19&lt;=I19,"Pass","Fail")))</f>
        <v/>
      </c>
      <c r="L19" s="15" t="inlineStr">
        <is>
          <t>Pass</t>
        </is>
      </c>
      <c r="M19" s="15" t="inlineStr">
        <is>
          <t>63 vs 43</t>
        </is>
      </c>
    </row>
    <row r="20" ht="15" customHeight="1" s="12">
      <c r="A20" s="15" t="inlineStr">
        <is>
          <t>Viability re-run</t>
        </is>
      </c>
      <c r="B20" s="15" t="inlineStr">
        <is>
          <t>2026-10-13</t>
        </is>
      </c>
      <c r="C20" s="15" t="inlineStr">
        <is>
          <t>sel-v2</t>
        </is>
      </c>
      <c r="D20" s="15" t="inlineStr">
        <is>
          <t>V2</t>
        </is>
      </c>
      <c r="E20" s="15" t="inlineStr">
        <is>
          <t>Yes</t>
        </is>
      </c>
      <c r="F20" s="15" t="inlineStr">
        <is>
          <t>G1</t>
        </is>
      </c>
      <c r="G20" s="20" t="n">
        <v>0.978</v>
      </c>
      <c r="H20" s="15" t="inlineStr">
        <is>
          <t>&gt;=</t>
        </is>
      </c>
      <c r="I20" s="20" t="n">
        <v>0.98</v>
      </c>
      <c r="J20" s="15" t="inlineStr">
        <is>
          <t>%</t>
        </is>
      </c>
      <c r="K20" s="15">
        <f>IF(OR(G20="",H20="",I20=""),"",IF(H20="&gt;=",IF(G20&gt;=I20,"Pass","Fail"),IF(G20&lt;=I20,"Pass","Fail")))</f>
        <v/>
      </c>
      <c r="L20" s="15" t="inlineStr">
        <is>
          <t>Marginal</t>
        </is>
      </c>
      <c r="M20" s="15" t="inlineStr">
        <is>
          <t>5 of 231; none changes meaning (quote marks, ellipses)</t>
        </is>
      </c>
    </row>
    <row r="21" ht="15" customHeight="1" s="12">
      <c r="A21" s="15" t="inlineStr">
        <is>
          <t>Viability re-run</t>
        </is>
      </c>
      <c r="B21" s="15" t="inlineStr">
        <is>
          <t>2026-10-13</t>
        </is>
      </c>
      <c r="C21" s="15" t="inlineStr">
        <is>
          <t>sel-v2</t>
        </is>
      </c>
      <c r="D21" s="15" t="inlineStr">
        <is>
          <t>V2</t>
        </is>
      </c>
      <c r="E21" s="15" t="inlineStr">
        <is>
          <t>Yes</t>
        </is>
      </c>
      <c r="F21" s="15" t="inlineStr">
        <is>
          <t>G2</t>
        </is>
      </c>
      <c r="G21" s="20" t="n">
        <v>0.6899999999999999</v>
      </c>
      <c r="H21" s="15" t="inlineStr">
        <is>
          <t>&gt;=</t>
        </is>
      </c>
      <c r="I21" s="20" t="n">
        <v>0.6</v>
      </c>
      <c r="J21" s="15" t="inlineStr">
        <is>
          <t>%</t>
        </is>
      </c>
      <c r="K21" s="15">
        <f>IF(OR(G21="",H21="",I21=""),"",IF(H21="&gt;=",IF(G21&gt;=I21,"Pass","Fail"),IF(G21&lt;=I21,"Pass","Fail")))</f>
        <v/>
      </c>
      <c r="L21" s="15" t="inlineStr">
        <is>
          <t>Pass</t>
        </is>
      </c>
      <c r="M21" s="15" t="inlineStr">
        <is>
          <t>50 of 72</t>
        </is>
      </c>
    </row>
    <row r="22" ht="15" customHeight="1" s="12">
      <c r="A22" s="15" t="inlineStr">
        <is>
          <t>Viability re-run</t>
        </is>
      </c>
      <c r="B22" s="15" t="inlineStr">
        <is>
          <t>2026-10-13</t>
        </is>
      </c>
      <c r="C22" s="15" t="inlineStr">
        <is>
          <t>sel-v2</t>
        </is>
      </c>
      <c r="D22" s="15" t="inlineStr">
        <is>
          <t>V2</t>
        </is>
      </c>
      <c r="E22" s="15" t="inlineStr">
        <is>
          <t>Yes</t>
        </is>
      </c>
      <c r="F22" s="15" t="inlineStr">
        <is>
          <t>G3</t>
        </is>
      </c>
      <c r="G22" s="20" t="n">
        <v>0.75</v>
      </c>
      <c r="H22" s="15" t="inlineStr">
        <is>
          <t>&gt;=</t>
        </is>
      </c>
      <c r="I22" s="20" t="n">
        <v>0.6</v>
      </c>
      <c r="J22" s="15" t="inlineStr">
        <is>
          <t>%</t>
        </is>
      </c>
      <c r="K22" s="15">
        <f>IF(OR(G22="",H22="",I22=""),"",IF(H22="&gt;=",IF(G22&gt;=I22,"Pass","Fail"),IF(G22&lt;=I22,"Pass","Fail")))</f>
        <v/>
      </c>
      <c r="L22" s="15" t="inlineStr">
        <is>
          <t>Pass</t>
        </is>
      </c>
      <c r="M22" s="15" t="n"/>
    </row>
    <row r="23" ht="15" customHeight="1" s="12">
      <c r="A23" s="15" t="inlineStr">
        <is>
          <t>Viability re-run</t>
        </is>
      </c>
      <c r="B23" s="15" t="inlineStr">
        <is>
          <t>2026-10-13</t>
        </is>
      </c>
      <c r="C23" s="15" t="inlineStr">
        <is>
          <t>sel-v2</t>
        </is>
      </c>
      <c r="D23" s="15" t="inlineStr">
        <is>
          <t>V2</t>
        </is>
      </c>
      <c r="E23" s="15" t="inlineStr">
        <is>
          <t>Yes</t>
        </is>
      </c>
      <c r="F23" s="15" t="inlineStr">
        <is>
          <t>G4</t>
        </is>
      </c>
      <c r="G23" s="17" t="n">
        <v>1</v>
      </c>
      <c r="H23" s="15" t="inlineStr">
        <is>
          <t>&lt;=</t>
        </is>
      </c>
      <c r="I23" s="17" t="n">
        <v>1</v>
      </c>
      <c r="J23" s="15" t="inlineStr">
        <is>
          <t>count</t>
        </is>
      </c>
      <c r="K23" s="15">
        <f>IF(OR(G23="",H23="",I23=""),"",IF(H23="&gt;=",IF(G23&gt;=I23,"Pass","Fail"),IF(G23&lt;=I23,"Pass","Fail")))</f>
        <v/>
      </c>
      <c r="L23" s="15" t="inlineStr">
        <is>
          <t>Marginal</t>
        </is>
      </c>
      <c r="M23" s="15" t="inlineStr">
        <is>
          <t>2 if 'User cannot locate requested items' counts as broad</t>
        </is>
      </c>
    </row>
    <row r="24" ht="15" customHeight="1" s="12">
      <c r="A24" s="15" t="inlineStr">
        <is>
          <t>Viability re-run</t>
        </is>
      </c>
      <c r="B24" s="15" t="inlineStr">
        <is>
          <t>2026-10-13</t>
        </is>
      </c>
      <c r="C24" s="15" t="inlineStr">
        <is>
          <t>sel-v2</t>
        </is>
      </c>
      <c r="D24" s="15" t="inlineStr">
        <is>
          <t>V2</t>
        </is>
      </c>
      <c r="E24" s="15" t="inlineStr">
        <is>
          <t>Yes</t>
        </is>
      </c>
      <c r="F24" s="15" t="inlineStr">
        <is>
          <t>G5</t>
        </is>
      </c>
      <c r="G24" s="20" t="n">
        <v>0</v>
      </c>
      <c r="H24" s="15" t="inlineStr">
        <is>
          <t>&lt;=</t>
        </is>
      </c>
      <c r="I24" s="20" t="n">
        <v>0.1</v>
      </c>
      <c r="J24" s="15" t="inlineStr">
        <is>
          <t>%</t>
        </is>
      </c>
      <c r="K24" s="15">
        <f>IF(OR(G24="",H24="",I24=""),"",IF(H24="&gt;=",IF(G24&gt;=I24,"Pass","Fail"),IF(G24&lt;=I24,"Pass","Fail")))</f>
        <v/>
      </c>
      <c r="L24" s="15" t="inlineStr">
        <is>
          <t>Pass</t>
        </is>
      </c>
      <c r="M24" s="15" t="n"/>
    </row>
    <row r="25" ht="15" customHeight="1" s="12">
      <c r="A25" s="15" t="inlineStr">
        <is>
          <t>Viability re-run</t>
        </is>
      </c>
      <c r="B25" s="15" t="inlineStr">
        <is>
          <t>2026-10-13</t>
        </is>
      </c>
      <c r="C25" s="15" t="inlineStr">
        <is>
          <t>sel-v2</t>
        </is>
      </c>
      <c r="D25" s="15" t="inlineStr">
        <is>
          <t>V2</t>
        </is>
      </c>
      <c r="E25" s="15" t="inlineStr">
        <is>
          <t>Yes</t>
        </is>
      </c>
      <c r="F25" s="15" t="inlineStr">
        <is>
          <t>G6</t>
        </is>
      </c>
      <c r="G25" s="17" t="n">
        <v>0</v>
      </c>
      <c r="H25" s="15" t="inlineStr">
        <is>
          <t>&lt;=</t>
        </is>
      </c>
      <c r="I25" s="17" t="n">
        <v>1</v>
      </c>
      <c r="J25" s="15" t="inlineStr">
        <is>
          <t>count</t>
        </is>
      </c>
      <c r="K25" s="15">
        <f>IF(OR(G25="",H25="",I25=""),"",IF(H25="&gt;=",IF(G25&gt;=I25,"Pass","Fail"),IF(G25&lt;=I25,"Pass","Fail")))</f>
        <v/>
      </c>
      <c r="L25" s="15" t="inlineStr">
        <is>
          <t>Pass</t>
        </is>
      </c>
      <c r="M25" s="15" t="n"/>
    </row>
    <row r="26" ht="15" customHeight="1" s="12">
      <c r="A26" s="15" t="inlineStr">
        <is>
          <t>Viability re-run</t>
        </is>
      </c>
      <c r="B26" s="15" t="inlineStr">
        <is>
          <t>2026-10-13</t>
        </is>
      </c>
      <c r="C26" s="15" t="inlineStr">
        <is>
          <t>sel-v2</t>
        </is>
      </c>
      <c r="D26" s="15" t="inlineStr">
        <is>
          <t>V2</t>
        </is>
      </c>
      <c r="E26" s="15" t="inlineStr">
        <is>
          <t>Yes</t>
        </is>
      </c>
      <c r="F26" s="15" t="inlineStr">
        <is>
          <t>G6b</t>
        </is>
      </c>
      <c r="G26" s="17" t="n">
        <v>0</v>
      </c>
      <c r="H26" s="15" t="inlineStr">
        <is>
          <t>&lt;=</t>
        </is>
      </c>
      <c r="I26" s="17" t="n">
        <v>0</v>
      </c>
      <c r="J26" s="15" t="inlineStr">
        <is>
          <t>count</t>
        </is>
      </c>
      <c r="K26" s="15">
        <f>IF(OR(G26="",H26="",I26=""),"",IF(H26="&gt;=",IF(G26&gt;=I26,"Pass","Fail"),IF(G26&lt;=I26,"Pass","Fail")))</f>
        <v/>
      </c>
      <c r="L26" s="15" t="inlineStr">
        <is>
          <t>Pass</t>
        </is>
      </c>
      <c r="M26" s="15" t="n"/>
    </row>
    <row r="27" ht="15" customHeight="1" s="12">
      <c r="A27" s="15" t="inlineStr">
        <is>
          <t>Viability re-run</t>
        </is>
      </c>
      <c r="B27" s="15" t="inlineStr">
        <is>
          <t>2026-10-13</t>
        </is>
      </c>
      <c r="C27" s="15" t="inlineStr">
        <is>
          <t>sel-v3</t>
        </is>
      </c>
      <c r="D27" s="15" t="inlineStr">
        <is>
          <t>V3</t>
        </is>
      </c>
      <c r="E27" s="15" t="inlineStr">
        <is>
          <t>Yes</t>
        </is>
      </c>
      <c r="F27" s="15" t="inlineStr">
        <is>
          <t>G1</t>
        </is>
      </c>
      <c r="G27" s="20" t="n">
        <v>0.993</v>
      </c>
      <c r="H27" s="15" t="inlineStr">
        <is>
          <t>&gt;=</t>
        </is>
      </c>
      <c r="I27" s="20" t="n">
        <v>0.98</v>
      </c>
      <c r="J27" s="15" t="inlineStr">
        <is>
          <t>%</t>
        </is>
      </c>
      <c r="K27" s="15">
        <f>IF(OR(G27="",H27="",I27=""),"",IF(H27="&gt;=",IF(G27&gt;=I27,"Pass","Fail"),IF(G27&lt;=I27,"Pass","Fail")))</f>
        <v/>
      </c>
      <c r="L27" s="15" t="inlineStr">
        <is>
          <t>Pass</t>
        </is>
      </c>
      <c r="M27" s="15" t="inlineStr">
        <is>
          <t>2 of 281</t>
        </is>
      </c>
    </row>
    <row r="28" ht="15" customHeight="1" s="12">
      <c r="A28" s="15" t="inlineStr">
        <is>
          <t>Viability re-run</t>
        </is>
      </c>
      <c r="B28" s="15" t="inlineStr">
        <is>
          <t>2026-10-13</t>
        </is>
      </c>
      <c r="C28" s="15" t="inlineStr">
        <is>
          <t>sel-v3</t>
        </is>
      </c>
      <c r="D28" s="15" t="inlineStr">
        <is>
          <t>V3</t>
        </is>
      </c>
      <c r="E28" s="15" t="inlineStr">
        <is>
          <t>Yes</t>
        </is>
      </c>
      <c r="F28" s="15" t="inlineStr">
        <is>
          <t>G2</t>
        </is>
      </c>
      <c r="G28" s="20" t="n">
        <v>0.79</v>
      </c>
      <c r="H28" s="15" t="inlineStr">
        <is>
          <t>&gt;=</t>
        </is>
      </c>
      <c r="I28" s="20" t="n">
        <v>0.6</v>
      </c>
      <c r="J28" s="15" t="inlineStr">
        <is>
          <t>%</t>
        </is>
      </c>
      <c r="K28" s="15">
        <f>IF(OR(G28="",H28="",I28=""),"",IF(H28="&gt;=",IF(G28&gt;=I28,"Pass","Fail"),IF(G28&lt;=I28,"Pass","Fail")))</f>
        <v/>
      </c>
      <c r="L28" s="15" t="inlineStr">
        <is>
          <t>Pass</t>
        </is>
      </c>
      <c r="M28" s="15" t="inlineStr">
        <is>
          <t>114 of 144</t>
        </is>
      </c>
    </row>
    <row r="29" ht="15" customHeight="1" s="12">
      <c r="A29" s="15" t="inlineStr">
        <is>
          <t>Viability re-run</t>
        </is>
      </c>
      <c r="B29" s="15" t="inlineStr">
        <is>
          <t>2026-10-13</t>
        </is>
      </c>
      <c r="C29" s="15" t="inlineStr">
        <is>
          <t>sel-v3</t>
        </is>
      </c>
      <c r="D29" s="15" t="inlineStr">
        <is>
          <t>V3</t>
        </is>
      </c>
      <c r="E29" s="15" t="inlineStr">
        <is>
          <t>Yes</t>
        </is>
      </c>
      <c r="F29" s="15" t="inlineStr">
        <is>
          <t>G4</t>
        </is>
      </c>
      <c r="G29" s="17" t="n">
        <v>1</v>
      </c>
      <c r="H29" s="15" t="inlineStr">
        <is>
          <t>&lt;=</t>
        </is>
      </c>
      <c r="I29" s="17" t="n">
        <v>1</v>
      </c>
      <c r="J29" s="15" t="inlineStr">
        <is>
          <t>count</t>
        </is>
      </c>
      <c r="K29" s="15">
        <f>IF(OR(G29="",H29="",I29=""),"",IF(H29="&gt;=",IF(G29&gt;=I29,"Pass","Fail"),IF(G29&lt;=I29,"Pass","Fail")))</f>
        <v/>
      </c>
      <c r="L29" s="15" t="inlineStr">
        <is>
          <t>Marginal</t>
        </is>
      </c>
      <c r="M29" s="15" t="inlineStr">
        <is>
          <t>Same concepts as V2</t>
        </is>
      </c>
    </row>
    <row r="30" ht="15" customHeight="1" s="12">
      <c r="A30" s="15" t="inlineStr">
        <is>
          <t>Viability re-run</t>
        </is>
      </c>
      <c r="B30" s="15" t="inlineStr">
        <is>
          <t>2026-10-13</t>
        </is>
      </c>
      <c r="C30" s="15" t="inlineStr">
        <is>
          <t>sel-v3</t>
        </is>
      </c>
      <c r="D30" s="15" t="inlineStr">
        <is>
          <t>V3</t>
        </is>
      </c>
      <c r="E30" s="15" t="inlineStr">
        <is>
          <t>Yes</t>
        </is>
      </c>
      <c r="F30" s="15" t="inlineStr">
        <is>
          <t>G5</t>
        </is>
      </c>
      <c r="G30" s="20" t="n">
        <v>0</v>
      </c>
      <c r="H30" s="15" t="inlineStr">
        <is>
          <t>&lt;=</t>
        </is>
      </c>
      <c r="I30" s="20" t="n">
        <v>0.1</v>
      </c>
      <c r="J30" s="15" t="inlineStr">
        <is>
          <t>%</t>
        </is>
      </c>
      <c r="K30" s="15">
        <f>IF(OR(G30="",H30="",I30=""),"",IF(H30="&gt;=",IF(G30&gt;=I30,"Pass","Fail"),IF(G30&lt;=I30,"Pass","Fail")))</f>
        <v/>
      </c>
      <c r="L30" s="15" t="inlineStr">
        <is>
          <t>Pass</t>
        </is>
      </c>
      <c r="M30" s="15" t="n"/>
    </row>
    <row r="31" ht="15" customHeight="1" s="12">
      <c r="A31" s="15" t="inlineStr">
        <is>
          <t>Viability re-run</t>
        </is>
      </c>
      <c r="B31" s="15" t="inlineStr">
        <is>
          <t>2026-10-13</t>
        </is>
      </c>
      <c r="C31" s="15" t="inlineStr">
        <is>
          <t>sel-v3</t>
        </is>
      </c>
      <c r="D31" s="15" t="inlineStr">
        <is>
          <t>V3</t>
        </is>
      </c>
      <c r="E31" s="15" t="inlineStr">
        <is>
          <t>Yes</t>
        </is>
      </c>
      <c r="F31" s="15" t="inlineStr">
        <is>
          <t>G6</t>
        </is>
      </c>
      <c r="G31" s="17" t="n">
        <v>0</v>
      </c>
      <c r="H31" s="15" t="inlineStr">
        <is>
          <t>&lt;=</t>
        </is>
      </c>
      <c r="I31" s="17" t="n">
        <v>1</v>
      </c>
      <c r="J31" s="15" t="inlineStr">
        <is>
          <t>count</t>
        </is>
      </c>
      <c r="K31" s="15">
        <f>IF(OR(G31="",H31="",I31=""),"",IF(H31="&gt;=",IF(G31&gt;=I31,"Pass","Fail"),IF(G31&lt;=I31,"Pass","Fail")))</f>
        <v/>
      </c>
      <c r="L31" s="15" t="inlineStr">
        <is>
          <t>Pass</t>
        </is>
      </c>
      <c r="M31" s="15" t="n"/>
    </row>
    <row r="32" ht="15" customHeight="1" s="12">
      <c r="A32" s="15" t="inlineStr">
        <is>
          <t>Viability re-run</t>
        </is>
      </c>
      <c r="B32" s="15" t="inlineStr">
        <is>
          <t>2026-10-13</t>
        </is>
      </c>
      <c r="C32" s="15" t="inlineStr">
        <is>
          <t>sel-v3</t>
        </is>
      </c>
      <c r="D32" s="15" t="inlineStr">
        <is>
          <t>V3</t>
        </is>
      </c>
      <c r="E32" s="15" t="inlineStr">
        <is>
          <t>Yes</t>
        </is>
      </c>
      <c r="F32" s="15" t="inlineStr">
        <is>
          <t>G6b</t>
        </is>
      </c>
      <c r="G32" s="17" t="n">
        <v>0</v>
      </c>
      <c r="H32" s="15" t="inlineStr">
        <is>
          <t>&lt;=</t>
        </is>
      </c>
      <c r="I32" s="17" t="n">
        <v>0</v>
      </c>
      <c r="J32" s="15" t="inlineStr">
        <is>
          <t>count</t>
        </is>
      </c>
      <c r="K32" s="15">
        <f>IF(OR(G32="",H32="",I32=""),"",IF(H32="&gt;=",IF(G32&gt;=I32,"Pass","Fail"),IF(G32&lt;=I32,"Pass","Fail")))</f>
        <v/>
      </c>
      <c r="L32" s="15" t="inlineStr">
        <is>
          <t>Pass</t>
        </is>
      </c>
      <c r="M32" s="15" t="inlineStr">
        <is>
          <t>Recall not labelled</t>
        </is>
      </c>
    </row>
    <row r="33" ht="15" customHeight="1" s="12">
      <c r="A33" s="15" t="inlineStr">
        <is>
          <t>Cost controls</t>
        </is>
      </c>
      <c r="B33" s="15" t="inlineStr">
        <is>
          <t>2026-10-13</t>
        </is>
      </c>
      <c r="C33" s="15" t="inlineStr">
        <is>
          <t>cc-v1 (all three controls)</t>
        </is>
      </c>
      <c r="D33" s="15" t="inlineStr">
        <is>
          <t>V1</t>
        </is>
      </c>
      <c r="E33" s="15" t="inlineStr">
        <is>
          <t>Yes</t>
        </is>
      </c>
      <c r="F33" s="15" t="inlineStr">
        <is>
          <t>G2</t>
        </is>
      </c>
      <c r="G33" s="20" t="n">
        <v>0.35</v>
      </c>
      <c r="H33" s="15" t="inlineStr">
        <is>
          <t>&gt;=</t>
        </is>
      </c>
      <c r="I33" s="20" t="n">
        <v>0.6</v>
      </c>
      <c r="J33" s="15" t="inlineStr">
        <is>
          <t>%</t>
        </is>
      </c>
      <c r="K33" s="15">
        <f>IF(OR(G33="",H33="",I33=""),"",IF(H33="&gt;=",IF(G33&gt;=I33,"Pass","Fail"),IF(G33&lt;=I33,"Pass","Fail")))</f>
        <v/>
      </c>
      <c r="L33" s="15" t="inlineStr">
        <is>
          <t>Fail</t>
        </is>
      </c>
      <c r="M33" s="15" t="inlineStr">
        <is>
          <t>39 of 110</t>
        </is>
      </c>
    </row>
    <row r="34" ht="15" customHeight="1" s="12">
      <c r="A34" s="15" t="inlineStr">
        <is>
          <t>Cost controls</t>
        </is>
      </c>
      <c r="B34" s="15" t="inlineStr">
        <is>
          <t>2026-10-13</t>
        </is>
      </c>
      <c r="C34" s="15" t="inlineStr">
        <is>
          <t>cc-v1 (all three controls)</t>
        </is>
      </c>
      <c r="D34" s="15" t="inlineStr">
        <is>
          <t>V1</t>
        </is>
      </c>
      <c r="E34" s="15" t="inlineStr">
        <is>
          <t>Yes</t>
        </is>
      </c>
      <c r="F34" s="15" t="inlineStr">
        <is>
          <t>G3</t>
        </is>
      </c>
      <c r="G34" s="20" t="n">
        <v>0.6</v>
      </c>
      <c r="H34" s="15" t="inlineStr">
        <is>
          <t>&gt;=</t>
        </is>
      </c>
      <c r="I34" s="20" t="n">
        <v>0.6</v>
      </c>
      <c r="J34" s="15" t="inlineStr">
        <is>
          <t>%</t>
        </is>
      </c>
      <c r="K34" s="15">
        <f>IF(OR(G34="",H34="",I34=""),"",IF(H34="&gt;=",IF(G34&gt;=I34,"Pass","Fail"),IF(G34&lt;=I34,"Pass","Fail")))</f>
        <v/>
      </c>
      <c r="L34" s="15" t="inlineStr">
        <is>
          <t>Pass</t>
        </is>
      </c>
      <c r="M34" s="15" t="inlineStr">
        <is>
          <t>Fell from 77%; chain stopped before V2</t>
        </is>
      </c>
    </row>
    <row r="35" ht="15" customHeight="1" s="12">
      <c r="A35" s="15" t="inlineStr">
        <is>
          <t>Cost controls</t>
        </is>
      </c>
      <c r="B35" s="15" t="inlineStr">
        <is>
          <t>2026-10-13</t>
        </is>
      </c>
      <c r="C35" s="15" t="inlineStr">
        <is>
          <t>ablate: validated scorer</t>
        </is>
      </c>
      <c r="D35" s="15" t="inlineStr">
        <is>
          <t>V1</t>
        </is>
      </c>
      <c r="E35" s="15" t="inlineStr">
        <is>
          <t>Yes</t>
        </is>
      </c>
      <c r="F35" s="15" t="inlineStr">
        <is>
          <t>G2</t>
        </is>
      </c>
      <c r="G35" s="20" t="n">
        <v>0.6</v>
      </c>
      <c r="H35" s="15" t="inlineStr">
        <is>
          <t>&gt;=</t>
        </is>
      </c>
      <c r="I35" s="20" t="n">
        <v>0.6</v>
      </c>
      <c r="J35" s="15" t="inlineStr">
        <is>
          <t>%</t>
        </is>
      </c>
      <c r="K35" s="15">
        <f>IF(OR(G35="",H35="",I35=""),"",IF(H35="&gt;=",IF(G35&gt;=I35,"Pass","Fail"),IF(G35&lt;=I35,"Pass","Fail")))</f>
        <v/>
      </c>
      <c r="L35" s="15" t="inlineStr">
        <is>
          <t>Kept</t>
        </is>
      </c>
      <c r="M35" s="15" t="inlineStr">
        <is>
          <t>No selection; recall 78%</t>
        </is>
      </c>
    </row>
    <row r="36" ht="15" customHeight="1" s="12">
      <c r="A36" s="15" t="inlineStr">
        <is>
          <t>Cost controls</t>
        </is>
      </c>
      <c r="B36" s="15" t="inlineStr">
        <is>
          <t>2026-10-13</t>
        </is>
      </c>
      <c r="C36" s="15" t="inlineStr">
        <is>
          <t>ablate: compact letters</t>
        </is>
      </c>
      <c r="D36" s="15" t="inlineStr">
        <is>
          <t>V1</t>
        </is>
      </c>
      <c r="E36" s="15" t="inlineStr">
        <is>
          <t>Yes</t>
        </is>
      </c>
      <c r="F36" s="15" t="inlineStr">
        <is>
          <t>G2</t>
        </is>
      </c>
      <c r="G36" s="20" t="n">
        <v>0.5</v>
      </c>
      <c r="H36" s="15" t="inlineStr">
        <is>
          <t>&gt;=</t>
        </is>
      </c>
      <c r="I36" s="20" t="n">
        <v>0.6</v>
      </c>
      <c r="J36" s="15" t="inlineStr">
        <is>
          <t>%</t>
        </is>
      </c>
      <c r="K36" s="15">
        <f>IF(OR(G36="",H36="",I36=""),"",IF(H36="&gt;=",IF(G36&gt;=I36,"Pass","Fail"),IF(G36&lt;=I36,"Pass","Fail")))</f>
        <v/>
      </c>
      <c r="L36" s="15" t="inlineStr">
        <is>
          <t>Not kept</t>
        </is>
      </c>
      <c r="M36" s="15" t="inlineStr">
        <is>
          <t>Recall 75%</t>
        </is>
      </c>
    </row>
    <row r="37" ht="15" customHeight="1" s="12">
      <c r="A37" s="15" t="inlineStr">
        <is>
          <t>Cost controls</t>
        </is>
      </c>
      <c r="B37" s="15" t="inlineStr">
        <is>
          <t>2026-10-13</t>
        </is>
      </c>
      <c r="C37" s="15" t="inlineStr">
        <is>
          <t>ablate: 30 per call</t>
        </is>
      </c>
      <c r="D37" s="15" t="inlineStr">
        <is>
          <t>V1</t>
        </is>
      </c>
      <c r="E37" s="15" t="inlineStr">
        <is>
          <t>Yes</t>
        </is>
      </c>
      <c r="F37" s="15" t="inlineStr">
        <is>
          <t>G2</t>
        </is>
      </c>
      <c r="G37" s="20" t="n">
        <v>0.52</v>
      </c>
      <c r="H37" s="15" t="inlineStr">
        <is>
          <t>&gt;=</t>
        </is>
      </c>
      <c r="I37" s="20" t="n">
        <v>0.6</v>
      </c>
      <c r="J37" s="15" t="inlineStr">
        <is>
          <t>%</t>
        </is>
      </c>
      <c r="K37" s="15">
        <f>IF(OR(G37="",H37="",I37=""),"",IF(H37="&gt;=",IF(G37&gt;=I37,"Pass","Fail"),IF(G37&lt;=I37,"Pass","Fail")))</f>
        <v/>
      </c>
      <c r="L37" s="15" t="inlineStr">
        <is>
          <t>Not kept</t>
        </is>
      </c>
      <c r="M37" s="15" t="inlineStr">
        <is>
          <t>Recall 78%</t>
        </is>
      </c>
    </row>
    <row r="38" ht="15" customHeight="1" s="12">
      <c r="A38" s="15" t="inlineStr">
        <is>
          <t>Cost controls</t>
        </is>
      </c>
      <c r="B38" s="15" t="inlineStr">
        <is>
          <t>2026-10-13</t>
        </is>
      </c>
      <c r="C38" s="15" t="inlineStr">
        <is>
          <t>ablate: 10 nearest</t>
        </is>
      </c>
      <c r="D38" s="15" t="inlineStr">
        <is>
          <t>V1</t>
        </is>
      </c>
      <c r="E38" s="15" t="inlineStr">
        <is>
          <t>Yes</t>
        </is>
      </c>
      <c r="F38" s="15" t="inlineStr">
        <is>
          <t>G2</t>
        </is>
      </c>
      <c r="G38" s="20" t="n">
        <v>0.58</v>
      </c>
      <c r="H38" s="15" t="inlineStr">
        <is>
          <t>&gt;=</t>
        </is>
      </c>
      <c r="I38" s="20" t="n">
        <v>0.6</v>
      </c>
      <c r="J38" s="15" t="inlineStr">
        <is>
          <t>%</t>
        </is>
      </c>
      <c r="K38" s="15">
        <f>IF(OR(G38="",H38="",I38=""),"",IF(H38="&gt;=",IF(G38&gt;=I38,"Pass","Fail"),IF(G38&lt;=I38,"Pass","Fail")))</f>
        <v/>
      </c>
      <c r="L38" s="15" t="inlineStr">
        <is>
          <t>Not kept</t>
        </is>
      </c>
      <c r="M38" s="15" t="inlineStr">
        <is>
          <t>Recall 73%; not validated</t>
        </is>
      </c>
    </row>
    <row r="39" ht="15" customHeight="1" s="12">
      <c r="A39" s="15" t="inlineStr">
        <is>
          <t>Cost controls</t>
        </is>
      </c>
      <c r="B39" s="15" t="inlineStr">
        <is>
          <t>2026-10-13</t>
        </is>
      </c>
      <c r="C39" s="15" t="inlineStr">
        <is>
          <t>ablate: all three</t>
        </is>
      </c>
      <c r="D39" s="15" t="inlineStr">
        <is>
          <t>V1</t>
        </is>
      </c>
      <c r="E39" s="15" t="inlineStr">
        <is>
          <t>Yes</t>
        </is>
      </c>
      <c r="F39" s="15" t="inlineStr">
        <is>
          <t>G2</t>
        </is>
      </c>
      <c r="G39" s="20" t="n">
        <v>0.48</v>
      </c>
      <c r="H39" s="15" t="inlineStr">
        <is>
          <t>&gt;=</t>
        </is>
      </c>
      <c r="I39" s="20" t="n">
        <v>0.6</v>
      </c>
      <c r="J39" s="15" t="inlineStr">
        <is>
          <t>%</t>
        </is>
      </c>
      <c r="K39" s="15">
        <f>IF(OR(G39="",H39="",I39=""),"",IF(H39="&gt;=",IF(G39&gt;=I39,"Pass","Fail"),IF(G39&lt;=I39,"Pass","Fail")))</f>
        <v/>
      </c>
      <c r="L39" s="15" t="inlineStr">
        <is>
          <t>Not kept</t>
        </is>
      </c>
      <c r="M39" s="15" t="inlineStr">
        <is>
          <t>Recall 61%</t>
        </is>
      </c>
    </row>
    <row r="40" ht="15" customHeight="1" s="12">
      <c r="A40" s="15" t="inlineStr">
        <is>
          <t>OpenAI first check</t>
        </is>
      </c>
      <c r="B40" s="15" t="inlineStr">
        <is>
          <t>2026-10-13</t>
        </is>
      </c>
      <c r="C40" s="15" t="inlineStr">
        <is>
          <t>scorer: nano, reasoning none</t>
        </is>
      </c>
      <c r="D40" s="15" t="inlineStr">
        <is>
          <t>V1</t>
        </is>
      </c>
      <c r="E40" s="15" t="inlineStr">
        <is>
          <t>Yes</t>
        </is>
      </c>
      <c r="F40" s="15" t="inlineStr">
        <is>
          <t>G2</t>
        </is>
      </c>
      <c r="G40" s="20" t="n">
        <v>0.34</v>
      </c>
      <c r="H40" s="15" t="inlineStr">
        <is>
          <t>&gt;=</t>
        </is>
      </c>
      <c r="I40" s="20" t="n">
        <v>0.6</v>
      </c>
      <c r="J40" s="15" t="inlineStr">
        <is>
          <t>%</t>
        </is>
      </c>
      <c r="K40" s="15">
        <f>IF(OR(G40="",H40="",I40=""),"",IF(H40="&gt;=",IF(G40&gt;=I40,"Pass","Fail"),IF(G40&lt;=I40,"Pass","Fail")))</f>
        <v/>
      </c>
      <c r="L40" s="15" t="inlineStr">
        <is>
          <t>Fail</t>
        </is>
      </c>
      <c r="M40" s="15" t="inlineStr">
        <is>
          <t>32–36% across identical runs; recall 80–84%</t>
        </is>
      </c>
    </row>
    <row r="41" ht="15" customHeight="1" s="12">
      <c r="A41" s="15" t="inlineStr">
        <is>
          <t>OpenAI first check</t>
        </is>
      </c>
      <c r="B41" s="15" t="inlineStr">
        <is>
          <t>2026-10-13</t>
        </is>
      </c>
      <c r="C41" s="15" t="inlineStr">
        <is>
          <t>scorer: nano, low</t>
        </is>
      </c>
      <c r="D41" s="15" t="inlineStr">
        <is>
          <t>V1</t>
        </is>
      </c>
      <c r="E41" s="15" t="inlineStr">
        <is>
          <t>Yes</t>
        </is>
      </c>
      <c r="F41" s="15" t="inlineStr">
        <is>
          <t>G2</t>
        </is>
      </c>
      <c r="G41" s="20" t="n">
        <v>0.38</v>
      </c>
      <c r="H41" s="15" t="inlineStr">
        <is>
          <t>&gt;=</t>
        </is>
      </c>
      <c r="I41" s="20" t="n">
        <v>0.6</v>
      </c>
      <c r="J41" s="15" t="inlineStr">
        <is>
          <t>%</t>
        </is>
      </c>
      <c r="K41" s="15">
        <f>IF(OR(G41="",H41="",I41=""),"",IF(H41="&gt;=",IF(G41&gt;=I41,"Pass","Fail"),IF(G41&lt;=I41,"Pass","Fail")))</f>
        <v/>
      </c>
      <c r="L41" s="15" t="inlineStr">
        <is>
          <t>Fail</t>
        </is>
      </c>
      <c r="M41" s="15" t="inlineStr">
        <is>
          <t>Recall 89%</t>
        </is>
      </c>
    </row>
    <row r="42" ht="15" customHeight="1" s="12">
      <c r="A42" s="15" t="inlineStr">
        <is>
          <t>OpenAI first check</t>
        </is>
      </c>
      <c r="B42" s="15" t="inlineStr">
        <is>
          <t>2026-10-13</t>
        </is>
      </c>
      <c r="C42" s="15" t="inlineStr">
        <is>
          <t>scorer: nano, medium</t>
        </is>
      </c>
      <c r="D42" s="15" t="inlineStr">
        <is>
          <t>V1</t>
        </is>
      </c>
      <c r="E42" s="15" t="inlineStr">
        <is>
          <t>Yes</t>
        </is>
      </c>
      <c r="F42" s="15" t="inlineStr">
        <is>
          <t>G2</t>
        </is>
      </c>
      <c r="G42" s="20" t="n">
        <v>0.44</v>
      </c>
      <c r="H42" s="15" t="inlineStr">
        <is>
          <t>&gt;=</t>
        </is>
      </c>
      <c r="I42" s="20" t="n">
        <v>0.6</v>
      </c>
      <c r="J42" s="15" t="inlineStr">
        <is>
          <t>%</t>
        </is>
      </c>
      <c r="K42" s="15">
        <f>IF(OR(G42="",H42="",I42=""),"",IF(H42="&gt;=",IF(G42&gt;=I42,"Pass","Fail"),IF(G42&lt;=I42,"Pass","Fail")))</f>
        <v/>
      </c>
      <c r="L42" s="15" t="inlineStr">
        <is>
          <t>Fail</t>
        </is>
      </c>
      <c r="M42" s="15" t="inlineStr">
        <is>
          <t>Recall 87%</t>
        </is>
      </c>
    </row>
    <row r="43" ht="15" customHeight="1" s="12">
      <c r="A43" s="15" t="inlineStr">
        <is>
          <t>OpenAI first check</t>
        </is>
      </c>
      <c r="B43" s="15" t="inlineStr">
        <is>
          <t>2026-10-13</t>
        </is>
      </c>
      <c r="C43" s="15" t="inlineStr">
        <is>
          <t>scorer: mini, none</t>
        </is>
      </c>
      <c r="D43" s="15" t="inlineStr">
        <is>
          <t>V1</t>
        </is>
      </c>
      <c r="E43" s="15" t="inlineStr">
        <is>
          <t>Yes</t>
        </is>
      </c>
      <c r="F43" s="15" t="inlineStr">
        <is>
          <t>G2</t>
        </is>
      </c>
      <c r="G43" s="20" t="n">
        <v>0.5</v>
      </c>
      <c r="H43" s="15" t="inlineStr">
        <is>
          <t>&gt;=</t>
        </is>
      </c>
      <c r="I43" s="20" t="n">
        <v>0.6</v>
      </c>
      <c r="J43" s="15" t="inlineStr">
        <is>
          <t>%</t>
        </is>
      </c>
      <c r="K43" s="15">
        <f>IF(OR(G43="",H43="",I43=""),"",IF(H43="&gt;=",IF(G43&gt;=I43,"Pass","Fail"),IF(G43&lt;=I43,"Pass","Fail")))</f>
        <v/>
      </c>
      <c r="L43" s="15" t="inlineStr">
        <is>
          <t>Fail</t>
        </is>
      </c>
      <c r="M43" s="15" t="inlineStr">
        <is>
          <t>Recall 73%</t>
        </is>
      </c>
    </row>
    <row r="44" ht="15" customHeight="1" s="12">
      <c r="A44" s="15" t="inlineStr">
        <is>
          <t>OpenAI first check</t>
        </is>
      </c>
      <c r="B44" s="15" t="inlineStr">
        <is>
          <t>2026-10-13</t>
        </is>
      </c>
      <c r="C44" s="15" t="inlineStr">
        <is>
          <t>scorer: mini, low</t>
        </is>
      </c>
      <c r="D44" s="15" t="inlineStr">
        <is>
          <t>V1</t>
        </is>
      </c>
      <c r="E44" s="15" t="inlineStr">
        <is>
          <t>Yes</t>
        </is>
      </c>
      <c r="F44" s="15" t="inlineStr">
        <is>
          <t>G2</t>
        </is>
      </c>
      <c r="G44" s="20" t="n">
        <v>0.53</v>
      </c>
      <c r="H44" s="15" t="inlineStr">
        <is>
          <t>&gt;=</t>
        </is>
      </c>
      <c r="I44" s="20" t="n">
        <v>0.6</v>
      </c>
      <c r="J44" s="15" t="inlineStr">
        <is>
          <t>%</t>
        </is>
      </c>
      <c r="K44" s="15">
        <f>IF(OR(G44="",H44="",I44=""),"",IF(H44="&gt;=",IF(G44&gt;=I44,"Pass","Fail"),IF(G44&lt;=I44,"Pass","Fail")))</f>
        <v/>
      </c>
      <c r="L44" s="15" t="inlineStr">
        <is>
          <t>Fail</t>
        </is>
      </c>
      <c r="M44" s="15" t="inlineStr">
        <is>
          <t>Recall 73%</t>
        </is>
      </c>
    </row>
    <row r="45" ht="15" customHeight="1" s="12">
      <c r="A45" s="15" t="inlineStr">
        <is>
          <t>OpenAI first check</t>
        </is>
      </c>
      <c r="B45" s="15" t="inlineStr">
        <is>
          <t>2026-10-13</t>
        </is>
      </c>
      <c r="C45" s="15" t="inlineStr">
        <is>
          <t>pv issues end to end (nano + mini)</t>
        </is>
      </c>
      <c r="D45" s="15" t="inlineStr">
        <is>
          <t>Newest month</t>
        </is>
      </c>
      <c r="E45" s="15" t="inlineStr">
        <is>
          <t>Yes</t>
        </is>
      </c>
      <c r="F45" s="15" t="inlineStr">
        <is>
          <t>G4</t>
        </is>
      </c>
      <c r="G45" s="17" t="n">
        <v>2</v>
      </c>
      <c r="H45" s="15" t="inlineStr">
        <is>
          <t>&lt;=</t>
        </is>
      </c>
      <c r="I45" s="17" t="n">
        <v>1</v>
      </c>
      <c r="J45" s="15" t="inlineStr">
        <is>
          <t>count</t>
        </is>
      </c>
      <c r="K45" s="15">
        <f>IF(OR(G45="",H45="",I45=""),"",IF(H45="&gt;=",IF(G45&gt;=I45,"Pass","Fail"),IF(G45&lt;=I45,"Pass","Fail")))</f>
        <v/>
      </c>
      <c r="L45" s="15" t="inlineStr">
        <is>
          <t>Fail</t>
        </is>
      </c>
      <c r="M45" s="15" t="inlineStr">
        <is>
          <t>'Bank connection is difficult' took 104 points; 5 issues kept</t>
        </is>
      </c>
    </row>
    <row r="46" ht="15" customHeight="1" s="12">
      <c r="A46" s="15" t="inlineStr">
        <is>
          <t>Scorer tuning</t>
        </is>
      </c>
      <c r="B46" s="15" t="inlineStr">
        <is>
          <t>2026-10-14</t>
        </is>
      </c>
      <c r="C46" s="15" t="inlineStr">
        <is>
          <t>nano, S1 anchor</t>
        </is>
      </c>
      <c r="D46" s="15" t="inlineStr">
        <is>
          <t>V1</t>
        </is>
      </c>
      <c r="E46" s="15" t="inlineStr">
        <is>
          <t>Yes</t>
        </is>
      </c>
      <c r="F46" s="15" t="inlineStr">
        <is>
          <t>TU1</t>
        </is>
      </c>
      <c r="G46" s="20" t="n">
        <v>0.43</v>
      </c>
      <c r="H46" s="15" t="n"/>
      <c r="I46" s="20" t="n"/>
      <c r="J46" s="15" t="inlineStr">
        <is>
          <t>%</t>
        </is>
      </c>
      <c r="K46" s="15">
        <f>IF(OR(G46="",H46="",I46=""),"",IF(H46="&gt;=",IF(G46&gt;=I46,"Pass","Fail"),IF(G46&lt;=I46,"Pass","Fail")))</f>
        <v/>
      </c>
      <c r="L46" s="15" t="inlineStr">
        <is>
          <t>Not kept</t>
        </is>
      </c>
      <c r="M46" s="15" t="inlineStr">
        <is>
          <t>From 38%; recall 88%</t>
        </is>
      </c>
    </row>
    <row r="47" ht="15" customHeight="1" s="12">
      <c r="A47" s="15" t="inlineStr">
        <is>
          <t>Scorer tuning</t>
        </is>
      </c>
      <c r="B47" s="15" t="inlineStr">
        <is>
          <t>2026-10-14</t>
        </is>
      </c>
      <c r="C47" s="15" t="inlineStr">
        <is>
          <t>nano, S2 feature first</t>
        </is>
      </c>
      <c r="D47" s="15" t="inlineStr">
        <is>
          <t>V1</t>
        </is>
      </c>
      <c r="E47" s="15" t="inlineStr">
        <is>
          <t>Yes</t>
        </is>
      </c>
      <c r="F47" s="15" t="inlineStr">
        <is>
          <t>TU1</t>
        </is>
      </c>
      <c r="G47" s="20" t="n">
        <v>0.37</v>
      </c>
      <c r="H47" s="15" t="n"/>
      <c r="I47" s="20" t="n"/>
      <c r="J47" s="15" t="inlineStr">
        <is>
          <t>%</t>
        </is>
      </c>
      <c r="K47" s="15">
        <f>IF(OR(G47="",H47="",I47=""),"",IF(H47="&gt;=",IF(G47&gt;=I47,"Pass","Fail"),IF(G47&lt;=I47,"Pass","Fail")))</f>
        <v/>
      </c>
      <c r="L47" s="15" t="inlineStr">
        <is>
          <t>Not kept</t>
        </is>
      </c>
      <c r="M47" s="15" t="inlineStr">
        <is>
          <t>Recall 90%</t>
        </is>
      </c>
    </row>
    <row r="48" ht="15" customHeight="1" s="12">
      <c r="A48" s="15" t="inlineStr">
        <is>
          <t>Scorer tuning</t>
        </is>
      </c>
      <c r="B48" s="15" t="inlineStr">
        <is>
          <t>2026-10-14</t>
        </is>
      </c>
      <c r="C48" s="15" t="inlineStr">
        <is>
          <t>nano, S1 + S2</t>
        </is>
      </c>
      <c r="D48" s="15" t="inlineStr">
        <is>
          <t>V1</t>
        </is>
      </c>
      <c r="E48" s="15" t="inlineStr">
        <is>
          <t>Yes</t>
        </is>
      </c>
      <c r="F48" s="15" t="inlineStr">
        <is>
          <t>TU1</t>
        </is>
      </c>
      <c r="G48" s="20" t="n">
        <v>0.4</v>
      </c>
      <c r="H48" s="15" t="n"/>
      <c r="I48" s="20" t="n"/>
      <c r="J48" s="15" t="inlineStr">
        <is>
          <t>%</t>
        </is>
      </c>
      <c r="K48" s="15">
        <f>IF(OR(G48="",H48="",I48=""),"",IF(H48="&gt;=",IF(G48&gt;=I48,"Pass","Fail"),IF(G48&lt;=I48,"Pass","Fail")))</f>
        <v/>
      </c>
      <c r="L48" s="15" t="inlineStr">
        <is>
          <t>Not kept</t>
        </is>
      </c>
      <c r="M48" s="15" t="inlineStr">
        <is>
          <t>Recall 87%</t>
        </is>
      </c>
    </row>
    <row r="49" ht="15" customHeight="1" s="12">
      <c r="A49" s="15" t="inlineStr">
        <is>
          <t>Scorer tuning</t>
        </is>
      </c>
      <c r="B49" s="15" t="inlineStr">
        <is>
          <t>2026-10-14</t>
        </is>
      </c>
      <c r="C49" s="15" t="inlineStr">
        <is>
          <t>mini, S1 anchor</t>
        </is>
      </c>
      <c r="D49" s="15" t="inlineStr">
        <is>
          <t>V1</t>
        </is>
      </c>
      <c r="E49" s="15" t="inlineStr">
        <is>
          <t>Yes</t>
        </is>
      </c>
      <c r="F49" s="15" t="inlineStr">
        <is>
          <t>TU1</t>
        </is>
      </c>
      <c r="G49" s="20" t="n">
        <v>0.53</v>
      </c>
      <c r="H49" s="15" t="n"/>
      <c r="I49" s="20" t="n"/>
      <c r="J49" s="15" t="inlineStr">
        <is>
          <t>%</t>
        </is>
      </c>
      <c r="K49" s="15">
        <f>IF(OR(G49="",H49="",I49=""),"",IF(H49="&gt;=",IF(G49&gt;=I49,"Pass","Fail"),IF(G49&lt;=I49,"Pass","Fail")))</f>
        <v/>
      </c>
      <c r="L49" s="15" t="inlineStr">
        <is>
          <t>Not kept</t>
        </is>
      </c>
      <c r="M49" s="15" t="inlineStr">
        <is>
          <t>From 53%; recall 74%</t>
        </is>
      </c>
    </row>
    <row r="50" ht="15" customHeight="1" s="12">
      <c r="A50" s="15" t="inlineStr">
        <is>
          <t>Scorer tuning</t>
        </is>
      </c>
      <c r="B50" s="15" t="inlineStr">
        <is>
          <t>2026-10-14</t>
        </is>
      </c>
      <c r="C50" s="15" t="inlineStr">
        <is>
          <t>round total</t>
        </is>
      </c>
      <c r="D50" s="15" t="inlineStr">
        <is>
          <t>—</t>
        </is>
      </c>
      <c r="E50" s="15" t="inlineStr">
        <is>
          <t>Yes</t>
        </is>
      </c>
      <c r="F50" s="15" t="inlineStr">
        <is>
          <t>TU4</t>
        </is>
      </c>
      <c r="G50" s="22" t="n">
        <v>0.98</v>
      </c>
      <c r="H50" s="15" t="inlineStr">
        <is>
          <t>&lt;=</t>
        </is>
      </c>
      <c r="I50" s="22" t="n">
        <v>3</v>
      </c>
      <c r="J50" s="15" t="inlineStr">
        <is>
          <t>USD</t>
        </is>
      </c>
      <c r="K50" s="15">
        <f>IF(OR(G50="",H50="",I50=""),"",IF(H50="&gt;=",IF(G50&gt;=I50,"Pass","Fail"),IF(G50&lt;=I50,"Pass","Fail")))</f>
        <v/>
      </c>
      <c r="L50" s="15" t="inlineStr">
        <is>
          <t>Pass</t>
        </is>
      </c>
      <c r="M50" s="15" t="inlineStr">
        <is>
          <t>Held-out step not run</t>
        </is>
      </c>
    </row>
    <row r="51" ht="15" customHeight="1" s="12">
      <c r="A51" s="15" t="inlineStr">
        <is>
          <t>Port check</t>
        </is>
      </c>
      <c r="B51" s="15" t="inlineStr">
        <is>
          <t>2026-10-14</t>
        </is>
      </c>
      <c r="C51" s="15" t="inlineStr">
        <is>
          <t>pv issues on V1 (Qwen)</t>
        </is>
      </c>
      <c r="D51" s="15" t="inlineStr">
        <is>
          <t>V1</t>
        </is>
      </c>
      <c r="E51" s="15" t="inlineStr">
        <is>
          <t>Yes</t>
        </is>
      </c>
      <c r="F51" s="15" t="inlineStr">
        <is>
          <t>G1</t>
        </is>
      </c>
      <c r="G51" s="20" t="n">
        <v>1</v>
      </c>
      <c r="H51" s="15" t="inlineStr">
        <is>
          <t>&gt;=</t>
        </is>
      </c>
      <c r="I51" s="20" t="n">
        <v>0.98</v>
      </c>
      <c r="J51" s="15" t="inlineStr">
        <is>
          <t>%</t>
        </is>
      </c>
      <c r="K51" s="15">
        <f>IF(OR(G51="",H51="",I51=""),"",IF(H51="&gt;=",IF(G51&gt;=I51,"Pass","Fail"),IF(G51&lt;=I51,"Pass","Fail")))</f>
        <v/>
      </c>
      <c r="L51" s="15" t="inlineStr">
        <is>
          <t>Pass</t>
        </is>
      </c>
      <c r="M51" s="15" t="inlineStr">
        <is>
          <t>268 of 268</t>
        </is>
      </c>
    </row>
    <row r="52" ht="15" customHeight="1" s="12">
      <c r="A52" s="15" t="inlineStr">
        <is>
          <t>Port check</t>
        </is>
      </c>
      <c r="B52" s="15" t="inlineStr">
        <is>
          <t>2026-10-14</t>
        </is>
      </c>
      <c r="C52" s="15" t="inlineStr">
        <is>
          <t>pv issues on V1 (Qwen)</t>
        </is>
      </c>
      <c r="D52" s="15" t="inlineStr">
        <is>
          <t>V1</t>
        </is>
      </c>
      <c r="E52" s="15" t="inlineStr">
        <is>
          <t>Yes</t>
        </is>
      </c>
      <c r="F52" s="15" t="inlineStr">
        <is>
          <t>G2</t>
        </is>
      </c>
      <c r="G52" s="20" t="n">
        <v>0.45</v>
      </c>
      <c r="H52" s="15" t="inlineStr">
        <is>
          <t>&gt;=</t>
        </is>
      </c>
      <c r="I52" s="20" t="n">
        <v>0.6</v>
      </c>
      <c r="J52" s="15" t="inlineStr">
        <is>
          <t>%</t>
        </is>
      </c>
      <c r="K52" s="15">
        <f>IF(OR(G52="",H52="",I52=""),"",IF(H52="&gt;=",IF(G52&gt;=I52,"Pass","Fail"),IF(G52&lt;=I52,"Pass","Fail")))</f>
        <v/>
      </c>
      <c r="L52" s="15" t="inlineStr">
        <is>
          <t>Fail</t>
        </is>
      </c>
      <c r="M52" s="15" t="inlineStr">
        <is>
          <t>63 of 140; 59% without catch-all C011</t>
        </is>
      </c>
    </row>
    <row r="53" ht="24" customHeight="1" s="12">
      <c r="A53" s="15" t="inlineStr">
        <is>
          <t>Port check</t>
        </is>
      </c>
      <c r="B53" s="15" t="inlineStr">
        <is>
          <t>2026-10-14</t>
        </is>
      </c>
      <c r="C53" s="15" t="inlineStr">
        <is>
          <t>pv issues on V1 (Qwen)</t>
        </is>
      </c>
      <c r="D53" s="15" t="inlineStr">
        <is>
          <t>V1</t>
        </is>
      </c>
      <c r="E53" s="15" t="inlineStr">
        <is>
          <t>Yes</t>
        </is>
      </c>
      <c r="F53" s="15" t="inlineStr">
        <is>
          <t>G4</t>
        </is>
      </c>
      <c r="G53" s="17" t="n"/>
      <c r="H53" s="15" t="inlineStr">
        <is>
          <t>&lt;=</t>
        </is>
      </c>
      <c r="I53" s="17" t="n">
        <v>1</v>
      </c>
      <c r="J53" s="15" t="inlineStr">
        <is>
          <t>count</t>
        </is>
      </c>
      <c r="K53" s="15">
        <f>IF(OR(G53="",H53="",I53=""),"",IF(H53="&gt;=",IF(G53&gt;=I53,"Pass","Fail"),IF(G53&lt;=I53,"Pass","Fail")))</f>
        <v/>
      </c>
      <c r="L53" s="15" t="inlineStr">
        <is>
          <t>Fail</t>
        </is>
      </c>
      <c r="M53" s="15" t="inlineStr">
        <is>
          <t>Catch-all passed the breadth check and displaced 3 sign-in issues</t>
        </is>
      </c>
    </row>
    <row r="54" ht="15" customHeight="1" s="12">
      <c r="A54" s="15" t="inlineStr">
        <is>
          <t>Port check</t>
        </is>
      </c>
      <c r="B54" s="15" t="inlineStr">
        <is>
          <t>2026-10-14</t>
        </is>
      </c>
      <c r="C54" s="15" t="inlineStr">
        <is>
          <t>pv issues on V1 (Qwen)</t>
        </is>
      </c>
      <c r="D54" s="15" t="inlineStr">
        <is>
          <t>V1</t>
        </is>
      </c>
      <c r="E54" s="15" t="inlineStr">
        <is>
          <t>Yes</t>
        </is>
      </c>
      <c r="F54" s="15" t="inlineStr">
        <is>
          <t>G7</t>
        </is>
      </c>
      <c r="G54" s="21" t="n">
        <v>2</v>
      </c>
      <c r="H54" s="15" t="inlineStr">
        <is>
          <t>&gt;=</t>
        </is>
      </c>
      <c r="I54" s="21" t="n">
        <v>15</v>
      </c>
      <c r="J54" s="15" t="inlineStr">
        <is>
          <t>pts</t>
        </is>
      </c>
      <c r="K54" s="15">
        <f>IF(OR(G54="",H54="",I54=""),"",IF(H54="&gt;=",IF(G54&gt;=I54,"Pass","Fail"),IF(G54&lt;=I54,"Pass","Fail")))</f>
        <v/>
      </c>
      <c r="L54" s="15" t="inlineStr">
        <is>
          <t>Fail</t>
        </is>
      </c>
      <c r="M54" s="15" t="inlineStr">
        <is>
          <t>45 vs 43</t>
        </is>
      </c>
    </row>
    <row r="55" ht="24" customHeight="1" s="12">
      <c r="A55" s="15" t="inlineStr">
        <is>
          <t>Embedding route</t>
        </is>
      </c>
      <c r="B55" s="15" t="inlineStr">
        <is>
          <t>2026-10-14</t>
        </is>
      </c>
      <c r="C55" s="15" t="inlineStr">
        <is>
          <t>B0 (old pipeline)</t>
        </is>
      </c>
      <c r="D55" s="15" t="inlineStr">
        <is>
          <t>Dev window (V1 labels)</t>
        </is>
      </c>
      <c r="E55" s="15" t="inlineStr">
        <is>
          <t>Reference</t>
        </is>
      </c>
      <c r="F55" s="15" t="inlineStr">
        <is>
          <t>E4</t>
        </is>
      </c>
      <c r="G55" s="20" t="n">
        <v>0.31</v>
      </c>
      <c r="H55" s="15" t="inlineStr">
        <is>
          <t>&gt;=</t>
        </is>
      </c>
      <c r="I55" s="20" t="n">
        <v>0.6</v>
      </c>
      <c r="J55" s="15" t="inlineStr">
        <is>
          <t>%</t>
        </is>
      </c>
      <c r="K55" s="15">
        <f>IF(OR(G55="",H55="",I55=""),"",IF(H55="&gt;=",IF(G55&gt;=I55,"Pass","Fail"),IF(G55&lt;=I55,"Pass","Fail")))</f>
        <v/>
      </c>
      <c r="L55" s="15" t="inlineStr">
        <is>
          <t>Reference</t>
        </is>
      </c>
      <c r="M55" s="15" t="inlineStr">
        <is>
          <t>Range 30–32%</t>
        </is>
      </c>
    </row>
    <row r="56" ht="24" customHeight="1" s="12">
      <c r="A56" s="15" t="inlineStr">
        <is>
          <t>Embedding route</t>
        </is>
      </c>
      <c r="B56" s="15" t="inlineStr">
        <is>
          <t>2026-10-14</t>
        </is>
      </c>
      <c r="C56" s="15" t="inlineStr">
        <is>
          <t>B0 (old pipeline)</t>
        </is>
      </c>
      <c r="D56" s="15" t="inlineStr">
        <is>
          <t>Dev window (V1 labels)</t>
        </is>
      </c>
      <c r="E56" s="15" t="inlineStr">
        <is>
          <t>Reference</t>
        </is>
      </c>
      <c r="F56" s="15" t="inlineStr">
        <is>
          <t>E5</t>
        </is>
      </c>
      <c r="G56" s="20" t="n">
        <v>0.68</v>
      </c>
      <c r="H56" s="15" t="inlineStr">
        <is>
          <t>&gt;=</t>
        </is>
      </c>
      <c r="I56" s="20" t="n">
        <v>0.6</v>
      </c>
      <c r="J56" s="15" t="inlineStr">
        <is>
          <t>%</t>
        </is>
      </c>
      <c r="K56" s="15">
        <f>IF(OR(G56="",H56="",I56=""),"",IF(H56="&gt;=",IF(G56&gt;=I56,"Pass","Fail"),IF(G56&lt;=I56,"Pass","Fail")))</f>
        <v/>
      </c>
      <c r="L56" s="15" t="inlineStr">
        <is>
          <t>Reference</t>
        </is>
      </c>
      <c r="M56" s="15" t="inlineStr">
        <is>
          <t>Range 66–71%</t>
        </is>
      </c>
    </row>
    <row r="57" ht="24" customHeight="1" s="12">
      <c r="A57" s="15" t="inlineStr">
        <is>
          <t>Embedding route</t>
        </is>
      </c>
      <c r="B57" s="15" t="inlineStr">
        <is>
          <t>2026-10-14</t>
        </is>
      </c>
      <c r="C57" s="15" t="inlineStr">
        <is>
          <t>B0 (old pipeline)</t>
        </is>
      </c>
      <c r="D57" s="15" t="inlineStr">
        <is>
          <t>Dev window (V1 labels)</t>
        </is>
      </c>
      <c r="E57" s="15" t="inlineStr">
        <is>
          <t>Reference</t>
        </is>
      </c>
      <c r="F57" s="15" t="inlineStr">
        <is>
          <t>E6</t>
        </is>
      </c>
      <c r="G57" s="17" t="n">
        <v>8</v>
      </c>
      <c r="H57" s="15" t="inlineStr">
        <is>
          <t>&lt;=</t>
        </is>
      </c>
      <c r="I57" s="17" t="n">
        <v>1</v>
      </c>
      <c r="J57" s="15" t="inlineStr">
        <is>
          <t>count</t>
        </is>
      </c>
      <c r="K57" s="15">
        <f>IF(OR(G57="",H57="",I57=""),"",IF(H57="&gt;=",IF(G57&gt;=I57,"Pass","Fail"),IF(G57&lt;=I57,"Pass","Fail")))</f>
        <v/>
      </c>
      <c r="L57" s="15" t="inlineStr">
        <is>
          <t>Reference</t>
        </is>
      </c>
      <c r="M57" s="15" t="n"/>
    </row>
    <row r="58" ht="24" customHeight="1" s="12">
      <c r="A58" s="15" t="inlineStr">
        <is>
          <t>Embedding route</t>
        </is>
      </c>
      <c r="B58" s="15" t="inlineStr">
        <is>
          <t>2026-10-14</t>
        </is>
      </c>
      <c r="C58" s="15" t="inlineStr">
        <is>
          <t>B0 (old pipeline)</t>
        </is>
      </c>
      <c r="D58" s="15" t="inlineStr">
        <is>
          <t>Dev window (V1 labels)</t>
        </is>
      </c>
      <c r="E58" s="15" t="inlineStr">
        <is>
          <t>Reference</t>
        </is>
      </c>
      <c r="F58" s="15" t="inlineStr">
        <is>
          <t>E7</t>
        </is>
      </c>
      <c r="G58" s="17" t="n">
        <v>15</v>
      </c>
      <c r="H58" s="15" t="inlineStr">
        <is>
          <t>&lt;=</t>
        </is>
      </c>
      <c r="I58" s="17" t="n">
        <v>1</v>
      </c>
      <c r="J58" s="15" t="inlineStr">
        <is>
          <t>count</t>
        </is>
      </c>
      <c r="K58" s="15">
        <f>IF(OR(G58="",H58="",I58=""),"",IF(H58="&gt;=",IF(G58&gt;=I58,"Pass","Fail"),IF(G58&lt;=I58,"Pass","Fail")))</f>
        <v/>
      </c>
      <c r="L58" s="15" t="inlineStr">
        <is>
          <t>Reference</t>
        </is>
      </c>
      <c r="M58" s="15" t="n"/>
    </row>
    <row r="59" ht="24" customHeight="1" s="12">
      <c r="A59" s="15" t="inlineStr">
        <is>
          <t>Embedding route</t>
        </is>
      </c>
      <c r="B59" s="15" t="inlineStr">
        <is>
          <t>2026-10-14</t>
        </is>
      </c>
      <c r="C59" s="15" t="inlineStr">
        <is>
          <t>B0 (old pipeline)</t>
        </is>
      </c>
      <c r="D59" s="15" t="inlineStr">
        <is>
          <t>Dev window (V1 labels)</t>
        </is>
      </c>
      <c r="E59" s="15" t="inlineStr">
        <is>
          <t>Reference</t>
        </is>
      </c>
      <c r="F59" s="15" t="inlineStr">
        <is>
          <t>E8</t>
        </is>
      </c>
      <c r="G59" s="23" t="n">
        <v>0.84</v>
      </c>
      <c r="H59" s="15" t="n"/>
      <c r="I59" s="23" t="n"/>
      <c r="J59" s="15" t="inlineStr">
        <is>
          <t>ARI</t>
        </is>
      </c>
      <c r="K59" s="15">
        <f>IF(OR(G59="",H59="",I59=""),"",IF(H59="&gt;=",IF(G59&gt;=I59,"Pass","Fail"),IF(G59&lt;=I59,"Pass","Fail")))</f>
        <v/>
      </c>
      <c r="L59" s="15" t="inlineStr">
        <is>
          <t>Reference</t>
        </is>
      </c>
      <c r="M59" s="15" t="inlineStr">
        <is>
          <t>Split: 5</t>
        </is>
      </c>
    </row>
    <row r="60" ht="24" customHeight="1" s="12">
      <c r="A60" s="15" t="inlineStr">
        <is>
          <t>Embedding route</t>
        </is>
      </c>
      <c r="B60" s="15" t="inlineStr">
        <is>
          <t>2026-10-14</t>
        </is>
      </c>
      <c r="C60" s="15" t="inlineStr">
        <is>
          <t>Final stack U2+U4+U6</t>
        </is>
      </c>
      <c r="D60" s="15" t="inlineStr">
        <is>
          <t>Dev window (V1 labels)</t>
        </is>
      </c>
      <c r="E60" s="15" t="inlineStr">
        <is>
          <t>Yes</t>
        </is>
      </c>
      <c r="F60" s="15" t="inlineStr">
        <is>
          <t>E2</t>
        </is>
      </c>
      <c r="G60" s="21" t="n">
        <v>9</v>
      </c>
      <c r="H60" s="15" t="inlineStr">
        <is>
          <t>&lt;=</t>
        </is>
      </c>
      <c r="I60" s="21" t="n">
        <v>3</v>
      </c>
      <c r="J60" s="15" t="inlineStr">
        <is>
          <t>pts</t>
        </is>
      </c>
      <c r="K60" s="15">
        <f>IF(OR(G60="",H60="",I60=""),"",IF(H60="&gt;=",IF(G60&gt;=I60,"Pass","Fail"),IF(G60&lt;=I60,"Pass","Fail")))</f>
        <v/>
      </c>
      <c r="L60" s="15" t="inlineStr">
        <is>
          <t>Fail</t>
        </is>
      </c>
      <c r="M60" s="15" t="inlineStr">
        <is>
          <t>68% → 59%</t>
        </is>
      </c>
    </row>
    <row r="61" ht="24" customHeight="1" s="12">
      <c r="A61" s="15" t="inlineStr">
        <is>
          <t>Embedding route</t>
        </is>
      </c>
      <c r="B61" s="15" t="inlineStr">
        <is>
          <t>2026-10-14</t>
        </is>
      </c>
      <c r="C61" s="15" t="inlineStr">
        <is>
          <t>Final stack U2+U4+U6</t>
        </is>
      </c>
      <c r="D61" s="15" t="inlineStr">
        <is>
          <t>Dev window (V1 labels)</t>
        </is>
      </c>
      <c r="E61" s="15" t="inlineStr">
        <is>
          <t>No</t>
        </is>
      </c>
      <c r="F61" s="15" t="inlineStr">
        <is>
          <t>E4</t>
        </is>
      </c>
      <c r="G61" s="20" t="n">
        <v>0.41</v>
      </c>
      <c r="H61" s="15" t="inlineStr">
        <is>
          <t>&gt;=</t>
        </is>
      </c>
      <c r="I61" s="20" t="n">
        <v>0.6</v>
      </c>
      <c r="J61" s="15" t="inlineStr">
        <is>
          <t>%</t>
        </is>
      </c>
      <c r="K61" s="15">
        <f>IF(OR(G61="",H61="",I61=""),"",IF(H61="&gt;=",IF(G61&gt;=I61,"Pass","Fail"),IF(G61&lt;=I61,"Pass","Fail")))</f>
        <v/>
      </c>
      <c r="L61" s="15" t="inlineStr">
        <is>
          <t>Fail</t>
        </is>
      </c>
      <c r="M61" s="15" t="inlineStr">
        <is>
          <t>Range 39–41%; 46% counting complaint points only</t>
        </is>
      </c>
    </row>
    <row r="62" ht="24" customHeight="1" s="12">
      <c r="A62" s="15" t="inlineStr">
        <is>
          <t>Embedding route</t>
        </is>
      </c>
      <c r="B62" s="15" t="inlineStr">
        <is>
          <t>2026-10-14</t>
        </is>
      </c>
      <c r="C62" s="15" t="inlineStr">
        <is>
          <t>Final stack U2+U4+U6</t>
        </is>
      </c>
      <c r="D62" s="15" t="inlineStr">
        <is>
          <t>Dev window (V1 labels)</t>
        </is>
      </c>
      <c r="E62" s="15" t="inlineStr">
        <is>
          <t>No</t>
        </is>
      </c>
      <c r="F62" s="15" t="inlineStr">
        <is>
          <t>E5</t>
        </is>
      </c>
      <c r="G62" s="20" t="n">
        <v>0.59</v>
      </c>
      <c r="H62" s="15" t="inlineStr">
        <is>
          <t>&gt;=</t>
        </is>
      </c>
      <c r="I62" s="20" t="n">
        <v>0.6</v>
      </c>
      <c r="J62" s="15" t="inlineStr">
        <is>
          <t>%</t>
        </is>
      </c>
      <c r="K62" s="15">
        <f>IF(OR(G62="",H62="",I62=""),"",IF(H62="&gt;=",IF(G62&gt;=I62,"Pass","Fail"),IF(G62&lt;=I62,"Pass","Fail")))</f>
        <v/>
      </c>
      <c r="L62" s="15" t="inlineStr">
        <is>
          <t>Fail</t>
        </is>
      </c>
      <c r="M62" s="15" t="inlineStr">
        <is>
          <t>Range 57–60%</t>
        </is>
      </c>
    </row>
    <row r="63" ht="24" customHeight="1" s="12">
      <c r="A63" s="15" t="inlineStr">
        <is>
          <t>Embedding route</t>
        </is>
      </c>
      <c r="B63" s="15" t="inlineStr">
        <is>
          <t>2026-10-14</t>
        </is>
      </c>
      <c r="C63" s="15" t="inlineStr">
        <is>
          <t>Final stack U2+U4+U6</t>
        </is>
      </c>
      <c r="D63" s="15" t="inlineStr">
        <is>
          <t>Dev window (V1 labels)</t>
        </is>
      </c>
      <c r="E63" s="15" t="inlineStr">
        <is>
          <t>No</t>
        </is>
      </c>
      <c r="F63" s="15" t="inlineStr">
        <is>
          <t>E6</t>
        </is>
      </c>
      <c r="G63" s="17" t="n">
        <v>4</v>
      </c>
      <c r="H63" s="15" t="inlineStr">
        <is>
          <t>&lt;=</t>
        </is>
      </c>
      <c r="I63" s="17" t="n">
        <v>1</v>
      </c>
      <c r="J63" s="15" t="inlineStr">
        <is>
          <t>count</t>
        </is>
      </c>
      <c r="K63" s="15">
        <f>IF(OR(G63="",H63="",I63=""),"",IF(H63="&gt;=",IF(G63&gt;=I63,"Pass","Fail"),IF(G63&lt;=I63,"Pass","Fail")))</f>
        <v/>
      </c>
      <c r="L63" s="15" t="inlineStr">
        <is>
          <t>Fail</t>
        </is>
      </c>
      <c r="M63" s="15" t="n"/>
    </row>
    <row r="64" ht="24" customHeight="1" s="12">
      <c r="A64" s="15" t="inlineStr">
        <is>
          <t>Embedding route</t>
        </is>
      </c>
      <c r="B64" s="15" t="inlineStr">
        <is>
          <t>2026-10-14</t>
        </is>
      </c>
      <c r="C64" s="15" t="inlineStr">
        <is>
          <t>Final stack U2+U4+U6</t>
        </is>
      </c>
      <c r="D64" s="15" t="inlineStr">
        <is>
          <t>Dev window (V1 labels)</t>
        </is>
      </c>
      <c r="E64" s="15" t="inlineStr">
        <is>
          <t>No</t>
        </is>
      </c>
      <c r="F64" s="15" t="inlineStr">
        <is>
          <t>E7</t>
        </is>
      </c>
      <c r="G64" s="17" t="n">
        <v>6</v>
      </c>
      <c r="H64" s="15" t="inlineStr">
        <is>
          <t>&lt;=</t>
        </is>
      </c>
      <c r="I64" s="17" t="n">
        <v>1</v>
      </c>
      <c r="J64" s="15" t="inlineStr">
        <is>
          <t>count</t>
        </is>
      </c>
      <c r="K64" s="15">
        <f>IF(OR(G64="",H64="",I64=""),"",IF(H64="&gt;=",IF(G64&gt;=I64,"Pass","Fail"),IF(G64&lt;=I64,"Pass","Fail")))</f>
        <v/>
      </c>
      <c r="L64" s="15" t="inlineStr">
        <is>
          <t>Fail</t>
        </is>
      </c>
      <c r="M64" s="15" t="n"/>
    </row>
    <row r="65" ht="24" customHeight="1" s="12">
      <c r="A65" s="15" t="inlineStr">
        <is>
          <t>Embedding route</t>
        </is>
      </c>
      <c r="B65" s="15" t="inlineStr">
        <is>
          <t>2026-10-14</t>
        </is>
      </c>
      <c r="C65" s="15" t="inlineStr">
        <is>
          <t>Final stack U2+U4+U6</t>
        </is>
      </c>
      <c r="D65" s="15" t="inlineStr">
        <is>
          <t>Dev window (V1 labels)</t>
        </is>
      </c>
      <c r="E65" s="15" t="inlineStr">
        <is>
          <t>No</t>
        </is>
      </c>
      <c r="F65" s="15" t="inlineStr">
        <is>
          <t>E8</t>
        </is>
      </c>
      <c r="G65" s="23" t="n">
        <v>0.93</v>
      </c>
      <c r="H65" s="15" t="n"/>
      <c r="I65" s="23" t="n"/>
      <c r="J65" s="15" t="inlineStr">
        <is>
          <t>ARI</t>
        </is>
      </c>
      <c r="K65" s="15">
        <f>IF(OR(G65="",H65="",I65=""),"",IF(H65="&gt;=",IF(G65&gt;=I65,"Pass","Fail"),IF(G65&lt;=I65,"Pass","Fail")))</f>
        <v/>
      </c>
      <c r="L65" s="15" t="inlineStr">
        <is>
          <t>Reference</t>
        </is>
      </c>
      <c r="M65" s="15" t="inlineStr">
        <is>
          <t>Split: 5</t>
        </is>
      </c>
    </row>
    <row r="66" ht="24" customHeight="1" s="12">
      <c r="A66" s="15" t="inlineStr">
        <is>
          <t>Embedding route</t>
        </is>
      </c>
      <c r="B66" s="15" t="inlineStr">
        <is>
          <t>2026-10-14</t>
        </is>
      </c>
      <c r="C66" s="15" t="inlineStr">
        <is>
          <t>U1 word rarity (drop-one)</t>
        </is>
      </c>
      <c r="D66" s="15" t="inlineStr">
        <is>
          <t>Dev window (V1 labels)</t>
        </is>
      </c>
      <c r="E66" s="15" t="inlineStr">
        <is>
          <t>Yes</t>
        </is>
      </c>
      <c r="F66" s="15" t="inlineStr">
        <is>
          <t>E3</t>
        </is>
      </c>
      <c r="G66" s="18" t="n"/>
      <c r="H66" s="15" t="n"/>
      <c r="I66" s="18" t="n"/>
      <c r="J66" s="15" t="n"/>
      <c r="K66" s="15">
        <f>IF(OR(G66="",H66="",I66=""),"",IF(H66="&gt;=",IF(G66&gt;=I66,"Pass","Fail"),IF(G66&lt;=I66,"Pass","Fail")))</f>
        <v/>
      </c>
      <c r="L66" s="15" t="inlineStr">
        <is>
          <t>Not kept</t>
        </is>
      </c>
      <c r="M66" s="15" t="inlineStr">
        <is>
          <t>Noisy; tone better without it</t>
        </is>
      </c>
    </row>
    <row r="67" ht="24" customHeight="1" s="12">
      <c r="A67" s="15" t="inlineStr">
        <is>
          <t>Embedding route</t>
        </is>
      </c>
      <c r="B67" s="15" t="inlineStr">
        <is>
          <t>2026-10-14</t>
        </is>
      </c>
      <c r="C67" s="15" t="inlineStr">
        <is>
          <t>U2 range cap (drop-one)</t>
        </is>
      </c>
      <c r="D67" s="15" t="inlineStr">
        <is>
          <t>Dev window (V1 labels)</t>
        </is>
      </c>
      <c r="E67" s="15" t="inlineStr">
        <is>
          <t>Yes</t>
        </is>
      </c>
      <c r="F67" s="15" t="inlineStr">
        <is>
          <t>E3</t>
        </is>
      </c>
      <c r="G67" s="21" t="n">
        <v>7</v>
      </c>
      <c r="H67" s="15" t="n"/>
      <c r="I67" s="21" t="n"/>
      <c r="J67" s="15" t="inlineStr">
        <is>
          <t>pts</t>
        </is>
      </c>
      <c r="K67" s="15">
        <f>IF(OR(G67="",H67="",I67=""),"",IF(H67="&gt;=",IF(G67&gt;=I67,"Pass","Fail"),IF(G67&lt;=I67,"Pass","Fail")))</f>
        <v/>
      </c>
      <c r="L67" s="15" t="inlineStr">
        <is>
          <t>Kept</t>
        </is>
      </c>
      <c r="M67" s="15" t="inlineStr">
        <is>
          <t>Worth 7 pts of P; quotes by closeness beat thumbs-up by 3–10 pts</t>
        </is>
      </c>
    </row>
    <row r="68" ht="24" customHeight="1" s="12">
      <c r="A68" s="15" t="inlineStr">
        <is>
          <t>Embedding route</t>
        </is>
      </c>
      <c r="B68" s="15" t="inlineStr">
        <is>
          <t>2026-10-14</t>
        </is>
      </c>
      <c r="C68" s="15" t="inlineStr">
        <is>
          <t>U3 join duplicates (drop-one)</t>
        </is>
      </c>
      <c r="D68" s="15" t="inlineStr">
        <is>
          <t>Dev window (V1 labels)</t>
        </is>
      </c>
      <c r="E68" s="15" t="inlineStr">
        <is>
          <t>Yes</t>
        </is>
      </c>
      <c r="F68" s="15" t="inlineStr">
        <is>
          <t>E3</t>
        </is>
      </c>
      <c r="G68" s="18" t="n"/>
      <c r="H68" s="15" t="n"/>
      <c r="I68" s="18" t="n"/>
      <c r="J68" s="15" t="n"/>
      <c r="K68" s="15">
        <f>IF(OR(G68="",H68="",I68=""),"",IF(H68="&gt;=",IF(G68&gt;=I68,"Pass","Fail"),IF(G68&lt;=I68,"Pass","Fail")))</f>
        <v/>
      </c>
      <c r="L68" s="15" t="inlineStr">
        <is>
          <t>Not kept</t>
        </is>
      </c>
      <c r="M68" s="15" t="inlineStr">
        <is>
          <t>About one join per run; split unchanged</t>
        </is>
      </c>
    </row>
    <row r="69" ht="24" customHeight="1" s="12">
      <c r="A69" s="15" t="inlineStr">
        <is>
          <t>Embedding route</t>
        </is>
      </c>
      <c r="B69" s="15" t="inlineStr">
        <is>
          <t>2026-10-14</t>
        </is>
      </c>
      <c r="C69" s="15" t="inlineStr">
        <is>
          <t>U4 sentiment per sentence (drop-one)</t>
        </is>
      </c>
      <c r="D69" s="15" t="inlineStr">
        <is>
          <t>Dev window (V1 labels)</t>
        </is>
      </c>
      <c r="E69" s="15" t="inlineStr">
        <is>
          <t>Yes</t>
        </is>
      </c>
      <c r="F69" s="15" t="inlineStr">
        <is>
          <t>E3</t>
        </is>
      </c>
      <c r="G69" s="21" t="n">
        <v>4</v>
      </c>
      <c r="H69" s="15" t="n"/>
      <c r="I69" s="21" t="n"/>
      <c r="J69" s="15" t="inlineStr">
        <is>
          <t>pts</t>
        </is>
      </c>
      <c r="K69" s="15">
        <f>IF(OR(G69="",H69="",I69=""),"",IF(H69="&gt;=",IF(G69&gt;=I69,"Pass","Fail"),IF(G69&lt;=I69,"Pass","Fail")))</f>
        <v/>
      </c>
      <c r="L69" s="15" t="inlineStr">
        <is>
          <t>Kept</t>
        </is>
      </c>
      <c r="M69" s="15" t="inlineStr">
        <is>
          <t>+4 P, no recall gain (its main measure)</t>
        </is>
      </c>
    </row>
    <row r="70" ht="24" customHeight="1" s="12">
      <c r="A70" s="15" t="inlineStr">
        <is>
          <t>Embedding route</t>
        </is>
      </c>
      <c r="B70" s="15" t="inlineStr">
        <is>
          <t>2026-10-14</t>
        </is>
      </c>
      <c r="C70" s="15" t="inlineStr">
        <is>
          <t>U6 consensus (drop-one)</t>
        </is>
      </c>
      <c r="D70" s="15" t="inlineStr">
        <is>
          <t>Dev window (V1 labels)</t>
        </is>
      </c>
      <c r="E70" s="15" t="inlineStr">
        <is>
          <t>Yes</t>
        </is>
      </c>
      <c r="F70" s="15" t="inlineStr">
        <is>
          <t>E3</t>
        </is>
      </c>
      <c r="G70" s="18" t="n"/>
      <c r="H70" s="15" t="n"/>
      <c r="I70" s="18" t="n"/>
      <c r="J70" s="15" t="n"/>
      <c r="K70" s="15">
        <f>IF(OR(G70="",H70="",I70=""),"",IF(H70="&gt;=",IF(G70&gt;=I70,"Pass","Fail"),IF(G70&lt;=I70,"Pass","Fail")))</f>
        <v/>
      </c>
      <c r="L70" s="15" t="inlineStr">
        <is>
          <t>Kept</t>
        </is>
      </c>
      <c r="M70" s="15" t="inlineStr">
        <is>
          <t>Stability 0.86 → 0.94</t>
        </is>
      </c>
    </row>
    <row r="71" ht="24" customHeight="1" s="12">
      <c r="A71" s="15" t="inlineStr">
        <is>
          <t>Embedding route</t>
        </is>
      </c>
      <c r="B71" s="15" t="inlineStr">
        <is>
          <t>2026-10-14</t>
        </is>
      </c>
      <c r="C71" s="15" t="inlineStr">
        <is>
          <t>U5, L1, L2, held-out run</t>
        </is>
      </c>
      <c r="D71" s="15" t="inlineStr">
        <is>
          <t>—</t>
        </is>
      </c>
      <c r="E71" s="15" t="inlineStr">
        <is>
          <t>Yes</t>
        </is>
      </c>
      <c r="F71" s="15" t="inlineStr">
        <is>
          <t>E9</t>
        </is>
      </c>
      <c r="G71" s="18" t="n"/>
      <c r="H71" s="15" t="n"/>
      <c r="I71" s="18" t="n"/>
      <c r="J71" s="15" t="n"/>
      <c r="K71" s="15">
        <f>IF(OR(G71="",H71="",I71=""),"",IF(H71="&gt;=",IF(G71&gt;=I71,"Pass","Fail"),IF(G71&lt;=I71,"Pass","Fail")))</f>
        <v/>
      </c>
      <c r="L71" s="15" t="inlineStr">
        <is>
          <t>Fail</t>
        </is>
      </c>
      <c r="M71" s="15" t="inlineStr">
        <is>
          <t>Not run: cannot change cluster membership, so cannot close the P gap</t>
        </is>
      </c>
    </row>
  </sheetData>
  <autoFilter ref="A1:M71"/>
  <conditionalFormatting sqref="K2:K71">
    <cfRule type="expression" rank="0" priority="2" equalAverage="0" aboveAverage="0" dxfId="6" text="" percent="0" bottom="0">
      <formula>LEFT(K2,3)="Met"</formula>
    </cfRule>
    <cfRule type="expression" rank="0" priority="3" equalAverage="0" aboveAverage="0" dxfId="6" text="" percent="0" bottom="0">
      <formula>LEFT(K2,4)="Pass"</formula>
    </cfRule>
    <cfRule type="expression" rank="0" priority="4" equalAverage="0" aboveAverage="0" dxfId="6" text="" percent="0" bottom="0">
      <formula>LEFT(K2,6)="Active"</formula>
    </cfRule>
    <cfRule type="expression" rank="0" priority="5" equalAverage="0" aboveAverage="0" dxfId="6" text="" percent="0" bottom="0">
      <formula>LEFT(K2,4)="Kept"</formula>
    </cfRule>
    <cfRule type="expression" rank="0" priority="6" equalAverage="0" aboveAverage="0" dxfId="7" text="" percent="0" bottom="0">
      <formula>LEFT(K2,7)="Partial"</formula>
    </cfRule>
    <cfRule type="expression" rank="0" priority="7" equalAverage="0" aboveAverage="0" dxfId="7" text="" percent="0" bottom="0">
      <formula>LEFT(K2,4)="Open"</formula>
    </cfRule>
    <cfRule type="expression" rank="0" priority="8" equalAverage="0" aboveAverage="0" dxfId="7" text="" percent="0" bottom="0">
      <formula>LEFT(K2,8)="Marginal"</formula>
    </cfRule>
    <cfRule type="expression" rank="0" priority="9" equalAverage="0" aboveAverage="0" dxfId="7" text="" percent="0" bottom="0">
      <formula>LEFT(K2,7)="Revised"</formula>
    </cfRule>
    <cfRule type="expression" rank="0" priority="10" equalAverage="0" aboveAverage="0" dxfId="8" text="" percent="0" bottom="0">
      <formula>LEFT(K2,4)="Fail"</formula>
    </cfRule>
    <cfRule type="expression" rank="0" priority="11" equalAverage="0" aboveAverage="0" dxfId="8" text="" percent="0" bottom="0">
      <formula>LEFT(K2,8)="Not kept"</formula>
    </cfRule>
    <cfRule type="expression" rank="0" priority="12" equalAverage="0" aboveAverage="0" dxfId="9" text="" percent="0" bottom="0">
      <formula>LEFT(K2,10)="Superseded"</formula>
    </cfRule>
    <cfRule type="expression" rank="0" priority="13" equalAverage="0" aboveAverage="0" dxfId="9" text="" percent="0" bottom="0">
      <formula>LEFT(K2,9)="Not built"</formula>
    </cfRule>
    <cfRule type="expression" rank="0" priority="14" equalAverage="0" aboveAverage="0" dxfId="9" text="" percent="0" bottom="0">
      <formula>LEFT(K2,9)="Reference"</formula>
    </cfRule>
  </conditionalFormatting>
  <conditionalFormatting sqref="L2:L71">
    <cfRule type="expression" rank="0" priority="15" equalAverage="0" aboveAverage="0" dxfId="6" text="" percent="0" bottom="0">
      <formula>LEFT(L2,3)="Met"</formula>
    </cfRule>
    <cfRule type="expression" rank="0" priority="16" equalAverage="0" aboveAverage="0" dxfId="6" text="" percent="0" bottom="0">
      <formula>LEFT(L2,4)="Pass"</formula>
    </cfRule>
    <cfRule type="expression" rank="0" priority="17" equalAverage="0" aboveAverage="0" dxfId="6" text="" percent="0" bottom="0">
      <formula>LEFT(L2,6)="Active"</formula>
    </cfRule>
    <cfRule type="expression" rank="0" priority="18" equalAverage="0" aboveAverage="0" dxfId="6" text="" percent="0" bottom="0">
      <formula>LEFT(L2,4)="Kept"</formula>
    </cfRule>
    <cfRule type="expression" rank="0" priority="19" equalAverage="0" aboveAverage="0" dxfId="7" text="" percent="0" bottom="0">
      <formula>LEFT(L2,7)="Partial"</formula>
    </cfRule>
    <cfRule type="expression" rank="0" priority="20" equalAverage="0" aboveAverage="0" dxfId="7" text="" percent="0" bottom="0">
      <formula>LEFT(L2,4)="Open"</formula>
    </cfRule>
    <cfRule type="expression" rank="0" priority="21" equalAverage="0" aboveAverage="0" dxfId="7" text="" percent="0" bottom="0">
      <formula>LEFT(L2,8)="Marginal"</formula>
    </cfRule>
    <cfRule type="expression" rank="0" priority="22" equalAverage="0" aboveAverage="0" dxfId="7" text="" percent="0" bottom="0">
      <formula>LEFT(L2,7)="Revised"</formula>
    </cfRule>
    <cfRule type="expression" rank="0" priority="23" equalAverage="0" aboveAverage="0" dxfId="8" text="" percent="0" bottom="0">
      <formula>LEFT(L2,4)="Fail"</formula>
    </cfRule>
    <cfRule type="expression" rank="0" priority="24" equalAverage="0" aboveAverage="0" dxfId="8" text="" percent="0" bottom="0">
      <formula>LEFT(L2,8)="Not kept"</formula>
    </cfRule>
    <cfRule type="expression" rank="0" priority="25" equalAverage="0" aboveAverage="0" dxfId="9" text="" percent="0" bottom="0">
      <formula>LEFT(L2,10)="Superseded"</formula>
    </cfRule>
    <cfRule type="expression" rank="0" priority="26" equalAverage="0" aboveAverage="0" dxfId="9" text="" percent="0" bottom="0">
      <formula>LEFT(L2,9)="Not built"</formula>
    </cfRule>
    <cfRule type="expression" rank="0" priority="27" equalAverage="0" aboveAverage="0" dxfId="9" text="" percent="0" bottom="0">
      <formula>LEFT(L2,9)="Reference"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en-CA</dc:language>
  <dcterms:created xmlns:dcterms="http://purl.org/dc/terms/" xmlns:xsi="http://www.w3.org/2001/XMLSchema-instance" xsi:type="dcterms:W3CDTF">2026-10-14T12:15:36Z</dcterms:created>
  <dcterms:modified xmlns:dcterms="http://purl.org/dc/terms/" xmlns:xsi="http://www.w3.org/2001/XMLSchema-instance" xsi:type="dcterms:W3CDTF">2026-10-23T00:14:29Z</dcterms:modified>
  <cp:revision>0</cp:revision>
</cp:coreProperties>
</file>